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map" sheetId="1" state="visible" r:id="rId1"/>
    <sheet xmlns:r="http://schemas.openxmlformats.org/officeDocument/2006/relationships" name="Summary" sheetId="2" state="visible" r:id="rId2"/>
    <sheet xmlns:r="http://schemas.openxmlformats.org/officeDocument/2006/relationships" name="All requirements" sheetId="3" state="visible" r:id="rId3"/>
    <sheet xmlns:r="http://schemas.openxmlformats.org/officeDocument/2006/relationships" name="Governance" sheetId="4" state="visible" r:id="rId4"/>
    <sheet xmlns:r="http://schemas.openxmlformats.org/officeDocument/2006/relationships" name="Policy" sheetId="5" state="visible" r:id="rId5"/>
    <sheet xmlns:r="http://schemas.openxmlformats.org/officeDocument/2006/relationships" name="Escalation" sheetId="6" state="visible" r:id="rId6"/>
    <sheet xmlns:r="http://schemas.openxmlformats.org/officeDocument/2006/relationships" name="Supplementary" sheetId="7" state="visible" r:id="rId7"/>
    <sheet xmlns:r="http://schemas.openxmlformats.org/officeDocument/2006/relationships" name="Gaps" sheetId="8" state="visible" r:id="rId8"/>
    <sheet xmlns:r="http://schemas.openxmlformats.org/officeDocument/2006/relationships" name="Screens" sheetId="9" state="visible" r:id="rId9"/>
    <sheet xmlns:r="http://schemas.openxmlformats.org/officeDocument/2006/relationships" name="Deployment readiness" sheetId="10" state="visible" r:id="rId10"/>
    <sheet xmlns:r="http://schemas.openxmlformats.org/officeDocument/2006/relationships" name="Epics" sheetId="11" state="visible" r:id="rId11"/>
    <sheet xmlns:r="http://schemas.openxmlformats.org/officeDocument/2006/relationships" name="Test cases" sheetId="12" state="visible" r:id="rId12"/>
    <sheet xmlns:r="http://schemas.openxmlformats.org/officeDocument/2006/relationships" name="Parse log" sheetId="13" state="visible" r:id="rId13"/>
  </sheets>
  <definedNames>
    <definedName name="_xlnm.Print_Titles" localSheetId="0">'Requirements map'!$1:$1</definedName>
    <definedName name="_xlnm.Print_Titles" localSheetId="2">'All requirements'!$1:$1</definedName>
    <definedName name="_xlnm.Print_Titles" localSheetId="3">'Governance'!$1:$1</definedName>
    <definedName name="_xlnm.Print_Titles" localSheetId="4">'Policy'!$1:$1</definedName>
    <definedName name="_xlnm.Print_Titles" localSheetId="5">'Escalation'!$1:$1</definedName>
    <definedName name="_xlnm.Print_Titles" localSheetId="6">'Supplementary'!$1:$1</definedName>
    <definedName name="_xlnm.Print_Titles" localSheetId="7">'Gaps'!$1:$1</definedName>
    <definedName name="_xlnm.Print_Titles" localSheetId="8">'Screens'!$1:$1</definedName>
    <definedName name="_xlnm.Print_Titles" localSheetId="9">'Deployment readiness'!$1:$1</definedName>
    <definedName name="_xlnm.Print_Titles" localSheetId="10">'Epics'!$1:$1</definedName>
    <definedName name="_xlnm.Print_Titles" localSheetId="11">'Test cases'!$1:$1</definedName>
    <definedName name="_xlnm.Print_Titles" localSheetId="12">'Parse log'!$1:$1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1F3A5F"/>
      <sz val="16"/>
    </font>
    <font>
      <name val="Arial"/>
      <b val="1"/>
      <sz val="10"/>
    </font>
    <font>
      <name val="Arial"/>
      <b val="1"/>
      <color rgb="001F3A5F"/>
      <sz val="12"/>
    </font>
    <font>
      <name val="Arial"/>
      <i val="1"/>
      <color rgb="00555555"/>
      <sz val="9"/>
    </font>
  </fonts>
  <fills count="13">
    <fill>
      <patternFill/>
    </fill>
    <fill>
      <patternFill patternType="gray125"/>
    </fill>
    <fill>
      <patternFill patternType="solid">
        <fgColor rgb="001F3A5F"/>
      </patternFill>
    </fill>
    <fill>
      <patternFill patternType="solid">
        <fgColor rgb="00EDEDED"/>
      </patternFill>
    </fill>
    <fill>
      <patternFill patternType="solid">
        <fgColor rgb="004E9A57"/>
      </patternFill>
    </fill>
    <fill>
      <patternFill patternType="solid">
        <fgColor rgb="004F81BD"/>
      </patternFill>
    </fill>
    <fill>
      <patternFill patternType="solid">
        <fgColor rgb="00E0A526"/>
      </patternFill>
    </fill>
    <fill>
      <patternFill patternType="solid">
        <fgColor rgb="00C0504D"/>
      </patternFill>
    </fill>
    <fill>
      <patternFill patternType="solid">
        <fgColor rgb="00C6EFCE"/>
      </patternFill>
    </fill>
    <fill>
      <patternFill patternType="solid">
        <fgColor rgb="00FFEB9C"/>
      </patternFill>
    </fill>
    <fill>
      <patternFill patternType="solid">
        <fgColor rgb="00DDEBF7"/>
      </patternFill>
    </fill>
    <fill>
      <patternFill patternType="solid">
        <fgColor rgb="00FFC7CE"/>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1" fillId="4" borderId="1" applyAlignment="1" pivotButton="0" quotePrefix="0" xfId="0">
      <alignment horizontal="center" vertical="top" wrapText="1"/>
    </xf>
    <xf numFmtId="0" fontId="1" fillId="5" borderId="1" applyAlignment="1" pivotButton="0" quotePrefix="0" xfId="0">
      <alignment horizontal="center" vertical="top" wrapText="1"/>
    </xf>
    <xf numFmtId="0" fontId="1" fillId="6" borderId="1" applyAlignment="1" pivotButton="0" quotePrefix="0" xfId="0">
      <alignment horizontal="center" vertical="top" wrapText="1"/>
    </xf>
    <xf numFmtId="0" fontId="1" fillId="7" borderId="1" applyAlignment="1" pivotButton="0" quotePrefix="0" xfId="0">
      <alignment horizontal="center" vertical="top" wrapText="1"/>
    </xf>
    <xf numFmtId="0" fontId="6" fillId="0" borderId="0" pivotButton="0" quotePrefix="0" xfId="0"/>
    <xf numFmtId="0" fontId="2" fillId="0" borderId="1" pivotButton="0" quotePrefix="0" xfId="0"/>
    <xf numFmtId="0" fontId="2" fillId="0" borderId="1" applyAlignment="1" pivotButton="0" quotePrefix="0" xfId="0">
      <alignment horizontal="center"/>
    </xf>
    <xf numFmtId="0" fontId="4" fillId="3" borderId="1" pivotButton="0" quotePrefix="0" xfId="0"/>
    <xf numFmtId="0" fontId="4" fillId="3" borderId="1" applyAlignment="1" pivotButton="0" quotePrefix="0" xfId="0">
      <alignment horizontal="center"/>
    </xf>
    <xf numFmtId="0" fontId="2" fillId="0" borderId="1" applyAlignment="1" pivotButton="0" quotePrefix="0" xfId="0">
      <alignment wrapText="1"/>
    </xf>
    <xf numFmtId="0" fontId="2" fillId="8" borderId="1" pivotButton="0" quotePrefix="0" xfId="0"/>
    <xf numFmtId="0" fontId="2" fillId="9" borderId="1" pivotButton="0" quotePrefix="0" xfId="0"/>
    <xf numFmtId="0" fontId="2" fillId="10" borderId="1" pivotButton="0" quotePrefix="0" xfId="0"/>
    <xf numFmtId="0" fontId="2" fillId="11" borderId="1" pivotButton="0" quotePrefix="0" xfId="0"/>
    <xf numFmtId="0" fontId="4" fillId="0" borderId="1" pivotButton="0" quotePrefix="0" xfId="0"/>
    <xf numFmtId="0" fontId="4" fillId="0" borderId="1" applyAlignment="1" pivotButton="0" quotePrefix="0" xfId="0">
      <alignment horizontal="center"/>
    </xf>
    <xf numFmtId="0" fontId="4" fillId="8" borderId="0" applyAlignment="1" pivotButton="0" quotePrefix="0" xfId="0">
      <alignment vertical="top"/>
    </xf>
    <xf numFmtId="0" fontId="2" fillId="0" borderId="0" applyAlignment="1" pivotButton="0" quotePrefix="0" xfId="0">
      <alignment vertical="top" wrapText="1"/>
    </xf>
    <xf numFmtId="0" fontId="4" fillId="10" borderId="0" applyAlignment="1" pivotButton="0" quotePrefix="0" xfId="0">
      <alignment vertical="top"/>
    </xf>
    <xf numFmtId="0" fontId="4" fillId="9" borderId="0" applyAlignment="1" pivotButton="0" quotePrefix="0" xfId="0">
      <alignment vertical="top"/>
    </xf>
    <xf numFmtId="0" fontId="4" fillId="11" borderId="0" applyAlignment="1" pivotButton="0" quotePrefix="0" xfId="0">
      <alignment vertical="top"/>
    </xf>
    <xf numFmtId="0" fontId="4" fillId="12" borderId="0" applyAlignment="1" pivotButton="0" quotePrefix="0" xfId="0">
      <alignment vertical="top"/>
    </xf>
    <xf numFmtId="0" fontId="4" fillId="0" borderId="0" applyAlignment="1" pivotButton="0" quotePrefix="0" xfId="0">
      <alignment vertical="top"/>
    </xf>
  </cellXfs>
  <cellStyles count="1">
    <cellStyle name="Normal" xfId="0" builtinId="0" hidden="0"/>
  </cellStyles>
  <dxfs count="5">
    <dxf>
      <fill>
        <patternFill patternType="solid">
          <fgColor rgb="00C6EFCE"/>
          <bgColor rgb="00C6EFCE"/>
        </patternFill>
      </fill>
    </dxf>
    <dxf>
      <fill>
        <patternFill patternType="solid">
          <fgColor rgb="00DDEBF7"/>
          <bgColor rgb="00DDEBF7"/>
        </patternFill>
      </fill>
    </dxf>
    <dxf>
      <fill>
        <patternFill patternType="solid">
          <fgColor rgb="00FFEB9C"/>
          <bgColor rgb="00FFEB9C"/>
        </patternFill>
      </fill>
    </dxf>
    <dxf>
      <fill>
        <patternFill patternType="solid">
          <fgColor rgb="00FFC7CE"/>
          <bgColor rgb="00FFC7CE"/>
        </patternFill>
      </fill>
    </dxf>
    <dxf>
      <fill>
        <patternFill patternType="solid">
          <fgColor rgb="00E2EFDA"/>
          <b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Requirements by reachability class</a:t>
            </a:r>
          </a:p>
        </rich>
      </tx>
    </title>
    <plotArea>
      <barChart>
        <barDir val="bar"/>
        <grouping val="stacked"/>
        <ser>
          <idx val="0"/>
          <order val="0"/>
          <tx>
            <strRef>
              <f>'Summary'!P12</f>
            </strRef>
          </tx>
          <spPr>
            <a:solidFill xmlns:a="http://schemas.openxmlformats.org/drawingml/2006/main">
              <a:srgbClr val="4E9A57"/>
            </a:solidFill>
            <a:ln xmlns:a="http://schemas.openxmlformats.org/drawingml/2006/main">
              <a:solidFill>
                <a:srgbClr val="4E9A57"/>
              </a:solidFill>
              <a:prstDash val="solid"/>
            </a:ln>
          </spPr>
          <cat>
            <numRef>
              <f>'Summary'!$O$13:$O$16</f>
            </numRef>
          </cat>
          <val>
            <numRef>
              <f>'Summary'!$P$13:$P$16</f>
            </numRef>
          </val>
        </ser>
        <ser>
          <idx val="1"/>
          <order val="1"/>
          <tx>
            <strRef>
              <f>'Summary'!Q12</f>
            </strRef>
          </tx>
          <spPr>
            <a:solidFill xmlns:a="http://schemas.openxmlformats.org/drawingml/2006/main">
              <a:srgbClr val="4F81BD"/>
            </a:solidFill>
            <a:ln xmlns:a="http://schemas.openxmlformats.org/drawingml/2006/main">
              <a:solidFill>
                <a:srgbClr val="4F81BD"/>
              </a:solidFill>
              <a:prstDash val="solid"/>
            </a:ln>
          </spPr>
          <cat>
            <numRef>
              <f>'Summary'!$O$13:$O$16</f>
            </numRef>
          </cat>
          <val>
            <numRef>
              <f>'Summary'!$Q$13:$Q$16</f>
            </numRef>
          </val>
        </ser>
        <ser>
          <idx val="2"/>
          <order val="2"/>
          <tx>
            <strRef>
              <f>'Summary'!R12</f>
            </strRef>
          </tx>
          <spPr>
            <a:solidFill xmlns:a="http://schemas.openxmlformats.org/drawingml/2006/main">
              <a:srgbClr val="E0A526"/>
            </a:solidFill>
            <a:ln xmlns:a="http://schemas.openxmlformats.org/drawingml/2006/main">
              <a:solidFill>
                <a:srgbClr val="E0A526"/>
              </a:solidFill>
              <a:prstDash val="solid"/>
            </a:ln>
          </spPr>
          <cat>
            <numRef>
              <f>'Summary'!$O$13:$O$16</f>
            </numRef>
          </cat>
          <val>
            <numRef>
              <f>'Summary'!$R$13:$R$16</f>
            </numRef>
          </val>
        </ser>
        <ser>
          <idx val="3"/>
          <order val="3"/>
          <tx>
            <strRef>
              <f>'Summary'!S12</f>
            </strRef>
          </tx>
          <spPr>
            <a:solidFill xmlns:a="http://schemas.openxmlformats.org/drawingml/2006/main">
              <a:srgbClr val="C0504D"/>
            </a:solidFill>
            <a:ln xmlns:a="http://schemas.openxmlformats.org/drawingml/2006/main">
              <a:solidFill>
                <a:srgbClr val="C0504D"/>
              </a:solidFill>
              <a:prstDash val="solid"/>
            </a:ln>
          </spPr>
          <cat>
            <numRef>
              <f>'Summary'!$O$13:$O$16</f>
            </numRef>
          </cat>
          <val>
            <numRef>
              <f>'Summary'!$S$13:$S$16</f>
            </numRef>
          </val>
        </ser>
        <dLbls>
          <showLegendKey val="0"/>
          <showVal val="1"/>
          <showCatName val="0"/>
          <showSerName val="0"/>
          <showPercent val="0"/>
          <showLeaderLines val="0"/>
        </dLbls>
        <gapWidth val="6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Requirements</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14</col>
      <colOff>0</colOff>
      <row>18</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RequirementsMap" displayName="RequirementsMap" ref="A1:L72" headerRowCount="1">
  <autoFilter ref="A1:L72"/>
  <tableColumns count="12">
    <tableColumn id="1" name="Req ID"/>
    <tableColumn id="2" name="Module"/>
    <tableColumn id="3" name="Priority"/>
    <tableColumn id="4" name="Requirement"/>
    <tableColumn id="5" name="What we built"/>
    <tableColumn id="6" name="Portal screen"/>
    <tableColumn id="7" name="Workspace"/>
    <tableColumn id="8" name="Code"/>
    <tableColumn id="9" name="How a user reaches it"/>
    <tableColumn id="10" name="Test cases"/>
    <tableColumn id="11" name="Result"/>
    <tableColumn id="12" name="Explanation / demo example"/>
  </tableColumns>
  <tableStyleInfo name="TableStyleMedium2" showRowStripes="1" showColumnStripes="0"/>
</table>
</file>

<file path=xl/tables/table2.xml><?xml version="1.0" encoding="utf-8"?>
<table xmlns="http://schemas.openxmlformats.org/spreadsheetml/2006/main" id="2" name="Requirements" displayName="Requirements" ref="A1:T72" headerRowCount="1">
  <autoFilter ref="A1:T72"/>
  <tableColumns count="20">
    <tableColumn id="1" name="ID"/>
    <tableColumn id="2" name="Module"/>
    <tableColumn id="3" name="Priority"/>
    <tableColumn id="4" name="Short title"/>
    <tableColumn id="5" name="Baseline title"/>
    <tableColumn id="6" name="Requirement (baseline statement)"/>
    <tableColumn id="7" name="What satisfies it"/>
    <tableColumn id="8" name="Class"/>
    <tableColumn id="9" name="Class meaning"/>
    <tableColumn id="10" name="Demo data / workflow"/>
    <tableColumn id="11" name="Test(s)"/>
    <tableColumn id="12" name="Result"/>
    <tableColumn id="13" name="Result as measured"/>
    <tableColumn id="14" name="Test evidence"/>
    <tableColumn id="15" name="Cited test methods (est.)"/>
    <tableColumn id="16" name="Planned satisfaction (baseline)"/>
    <tableColumn id="17" name="Δ decision"/>
    <tableColumn id="18" name="Gap sections citing it"/>
    <tableColumn id="19" name="Epics tracing it"/>
    <tableColumn id="20" name="Stories tracing it"/>
  </tableColumns>
  <tableStyleInfo name="TableStyleMedium2" showRowStripes="1" showColumnStripes="0"/>
</table>
</file>

<file path=xl/tables/table3.xml><?xml version="1.0" encoding="utf-8"?>
<table xmlns="http://schemas.openxmlformats.org/spreadsheetml/2006/main" id="3" name="Req_CGF" displayName="Req_CGF" ref="A1:T20" headerRowCount="1">
  <autoFilter ref="A1:T20"/>
  <tableColumns count="20">
    <tableColumn id="1" name="ID"/>
    <tableColumn id="2" name="Module"/>
    <tableColumn id="3" name="Priority"/>
    <tableColumn id="4" name="Short title"/>
    <tableColumn id="5" name="Baseline title"/>
    <tableColumn id="6" name="Requirement (baseline statement)"/>
    <tableColumn id="7" name="What satisfies it"/>
    <tableColumn id="8" name="Class"/>
    <tableColumn id="9" name="Class meaning"/>
    <tableColumn id="10" name="Demo data / workflow"/>
    <tableColumn id="11" name="Test(s)"/>
    <tableColumn id="12" name="Result"/>
    <tableColumn id="13" name="Result as measured"/>
    <tableColumn id="14" name="Test evidence"/>
    <tableColumn id="15" name="Cited test methods (est.)"/>
    <tableColumn id="16" name="Planned satisfaction (baseline)"/>
    <tableColumn id="17" name="Δ decision"/>
    <tableColumn id="18" name="Gap sections citing it"/>
    <tableColumn id="19" name="Epics tracing it"/>
    <tableColumn id="20" name="Stories tracing it"/>
  </tableColumns>
  <tableStyleInfo name="TableStyleMedium2" showRowStripes="1" showColumnStripes="0"/>
</table>
</file>

<file path=xl/tables/table4.xml><?xml version="1.0" encoding="utf-8"?>
<table xmlns="http://schemas.openxmlformats.org/spreadsheetml/2006/main" id="4" name="Req_POL" displayName="Req_POL" ref="A1:T27" headerRowCount="1">
  <autoFilter ref="A1:T27"/>
  <tableColumns count="20">
    <tableColumn id="1" name="ID"/>
    <tableColumn id="2" name="Module"/>
    <tableColumn id="3" name="Priority"/>
    <tableColumn id="4" name="Short title"/>
    <tableColumn id="5" name="Baseline title"/>
    <tableColumn id="6" name="Requirement (baseline statement)"/>
    <tableColumn id="7" name="What satisfies it"/>
    <tableColumn id="8" name="Class"/>
    <tableColumn id="9" name="Class meaning"/>
    <tableColumn id="10" name="Demo data / workflow"/>
    <tableColumn id="11" name="Test(s)"/>
    <tableColumn id="12" name="Result"/>
    <tableColumn id="13" name="Result as measured"/>
    <tableColumn id="14" name="Test evidence"/>
    <tableColumn id="15" name="Cited test methods (est.)"/>
    <tableColumn id="16" name="Planned satisfaction (baseline)"/>
    <tableColumn id="17" name="Δ decision"/>
    <tableColumn id="18" name="Gap sections citing it"/>
    <tableColumn id="19" name="Epics tracing it"/>
    <tableColumn id="20" name="Stories tracing it"/>
  </tableColumns>
  <tableStyleInfo name="TableStyleMedium2" showRowStripes="1" showColumnStripes="0"/>
</table>
</file>

<file path=xl/tables/table5.xml><?xml version="1.0" encoding="utf-8"?>
<table xmlns="http://schemas.openxmlformats.org/spreadsheetml/2006/main" id="5" name="Req_ESC" displayName="Req_ESC" ref="A1:T20" headerRowCount="1">
  <autoFilter ref="A1:T20"/>
  <tableColumns count="20">
    <tableColumn id="1" name="ID"/>
    <tableColumn id="2" name="Module"/>
    <tableColumn id="3" name="Priority"/>
    <tableColumn id="4" name="Short title"/>
    <tableColumn id="5" name="Baseline title"/>
    <tableColumn id="6" name="Requirement (baseline statement)"/>
    <tableColumn id="7" name="What satisfies it"/>
    <tableColumn id="8" name="Class"/>
    <tableColumn id="9" name="Class meaning"/>
    <tableColumn id="10" name="Demo data / workflow"/>
    <tableColumn id="11" name="Test(s)"/>
    <tableColumn id="12" name="Result"/>
    <tableColumn id="13" name="Result as measured"/>
    <tableColumn id="14" name="Test evidence"/>
    <tableColumn id="15" name="Cited test methods (est.)"/>
    <tableColumn id="16" name="Planned satisfaction (baseline)"/>
    <tableColumn id="17" name="Δ decision"/>
    <tableColumn id="18" name="Gap sections citing it"/>
    <tableColumn id="19" name="Epics tracing it"/>
    <tableColumn id="20" name="Stories tracing it"/>
  </tableColumns>
  <tableStyleInfo name="TableStyleMedium2" showRowStripes="1" showColumnStripes="0"/>
</table>
</file>

<file path=xl/tables/table6.xml><?xml version="1.0" encoding="utf-8"?>
<table xmlns="http://schemas.openxmlformats.org/spreadsheetml/2006/main" id="6" name="Req_Supplementary" displayName="Req_Supplementary" ref="A1:T8" headerRowCount="1">
  <autoFilter ref="A1:T8"/>
  <tableColumns count="20">
    <tableColumn id="1" name="ID"/>
    <tableColumn id="2" name="Module"/>
    <tableColumn id="3" name="Priority"/>
    <tableColumn id="4" name="Short title"/>
    <tableColumn id="5" name="Baseline title"/>
    <tableColumn id="6" name="Requirement (baseline statement)"/>
    <tableColumn id="7" name="What satisfies it"/>
    <tableColumn id="8" name="Class"/>
    <tableColumn id="9" name="Class meaning"/>
    <tableColumn id="10" name="Demo data / workflow"/>
    <tableColumn id="11" name="Test(s)"/>
    <tableColumn id="12" name="Result"/>
    <tableColumn id="13" name="Result as measured"/>
    <tableColumn id="14" name="Test evidence"/>
    <tableColumn id="15" name="Cited test methods (est.)"/>
    <tableColumn id="16" name="Planned satisfaction (baseline)"/>
    <tableColumn id="17" name="Δ decision"/>
    <tableColumn id="18" name="Gap sections citing it"/>
    <tableColumn id="19" name="Epics tracing it"/>
    <tableColumn id="20" name="Stories tracing it"/>
  </tableColumns>
  <tableStyleInfo name="TableStyleMedium2" showRowStripes="1" showColumnStripes="0"/>
</table>
</file>

<file path=xl/tables/table7.xml><?xml version="1.0" encoding="utf-8"?>
<table xmlns="http://schemas.openxmlformats.org/spreadsheetml/2006/main" id="7" name="Gaps" displayName="Gaps" ref="A1:G23" headerRowCount="1">
  <autoFilter ref="A1:G23"/>
  <tableColumns count="7">
    <tableColumn id="1" name="Gap list"/>
    <tableColumn id="2" name="Section in source"/>
    <tableColumn id="3" name="IDs"/>
    <tableColumn id="4" name="Requirement ids (parsed)"/>
    <tableColumn id="5" name="Classes of those ids"/>
    <tableColumn id="6" name="Missing / situation"/>
    <tableColumn id="7" name="What would close it"/>
  </tableColumns>
  <tableStyleInfo name="TableStyleMedium2" showRowStripes="1" showColumnStripes="0"/>
</table>
</file>

<file path=xl/tables/table8.xml><?xml version="1.0" encoding="utf-8"?>
<table xmlns="http://schemas.openxmlformats.org/spreadsheetml/2006/main" id="8" name="Screens" displayName="Screens" ref="A1:G26" headerRowCount="1">
  <autoFilter ref="A1:G26"/>
  <tableColumns count="7">
    <tableColumn id="1" name="Key"/>
    <tableColumn id="2" name="Surface"/>
    <tableColumn id="3" name="Exists as"/>
    <tableColumn id="4" name="Routes"/>
    <tableColumn id="5" name="Status"/>
    <tableColumn id="6" name="Acts or views"/>
    <tableColumn id="7" name="Requirements whose 'What satisfies it' names these routes"/>
  </tableColumns>
  <tableStyleInfo name="TableStyleMedium2" showRowStripes="1" showColumnStripes="0"/>
</table>
</file>

<file path=xl/tables/table9.xml><?xml version="1.0" encoding="utf-8"?>
<table xmlns="http://schemas.openxmlformats.org/spreadsheetml/2006/main" id="9" name="Readiness" displayName="Readiness" ref="A1:D13" headerRowCount="1">
  <autoFilter ref="A1:D13"/>
  <tableColumns count="4">
    <tableColumn id="1" name="Item"/>
    <tableColumn id="2" name="State"/>
    <tableColumn id="3" name="Still true? (as written)"/>
    <tableColumn id="4" name="Evidence"/>
  </tableColumns>
  <tableStyleInfo name="TableStyleMedium2" showRowStripes="1" showColumnStripes="0"/>
</table>
</file>

<file path=xl/tables/table10.xml><?xml version="1.0" encoding="utf-8"?>
<table xmlns="http://schemas.openxmlformats.org/spreadsheetml/2006/main" id="10" name="Stories" displayName="Stories" ref="A1:L192" headerRowCount="1">
  <autoFilter ref="A1:L192"/>
  <tableColumns count="12">
    <tableColumn id="1" name="Story ID"/>
    <tableColumn id="2" name="Epic"/>
    <tableColumn id="3" name="Epic title"/>
    <tableColumn id="4" name="Phase"/>
    <tableColumn id="5" name="Size"/>
    <tableColumn id="6" name="Story status"/>
    <tableColumn id="7" name="Story evidence"/>
    <tableColumn id="8" name="Epic state (from its stories)"/>
    <tableColumn id="9" name="Requirement ids"/>
    <tableColumn id="10" name="Trace source"/>
    <tableColumn id="11" name="Story"/>
    <tableColumn id="12" name="Acceptance criteria"/>
  </tableColumns>
  <tableStyleInfo name="TableStyleMedium2" showRowStripes="1" showColumnStripes="0"/>
</table>
</file>

<file path=xl/tables/table11.xml><?xml version="1.0" encoding="utf-8"?>
<table xmlns="http://schemas.openxmlformats.org/spreadsheetml/2006/main" id="11" name="TestCases" displayName="TestCases" ref="A1:I1425" headerRowCount="1">
  <autoFilter ref="A1:I1425"/>
  <tableColumns count="9">
    <tableColumn id="1" name="Req ID"/>
    <tableColumn id="2" name="Module"/>
    <tableColumn id="3" name="Test module"/>
    <tableColumn id="4" name="Class"/>
    <tableColumn id="5" name="Test method"/>
    <tableColumn id="6" name="Cited as"/>
    <tableColumn id="7" name="Stated count"/>
    <tableColumn id="8" name="Methods found"/>
    <tableColumn id="9" name="File"/>
  </tableColumns>
  <tableStyleInfo name="TableStyleMedium2" showRowStripes="1" showColumnStripes="0"/>
</table>
</file>

<file path=xl/tables/table12.xml><?xml version="1.0" encoding="utf-8"?>
<table xmlns="http://schemas.openxmlformats.org/spreadsheetml/2006/main" id="12" name="ParseLog" displayName="ParseLog" ref="A1:C2" headerRowCount="1">
  <autoFilter ref="A1:C2"/>
  <tableColumns count="3">
    <tableColumn id="1" name="Level"/>
    <tableColumn id="2" name="Where"/>
    <tableColumn id="3" name="Messag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sheet1.xml><?xml version="1.0" encoding="utf-8"?>
<worksheet xmlns="http://schemas.openxmlformats.org/spreadsheetml/2006/main">
  <sheetPr>
    <outlinePr summaryBelow="1" summaryRight="1"/>
    <pageSetUpPr fitToPage="1"/>
  </sheetPr>
  <dimension ref="A1:L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58" customWidth="1" min="4" max="4"/>
    <col width="58" customWidth="1" min="5" max="5"/>
    <col width="22" customWidth="1" min="6" max="6"/>
    <col width="34" customWidth="1" min="7" max="7"/>
    <col width="52" customWidth="1" min="8" max="8"/>
    <col width="26" customWidth="1" min="9" max="9"/>
    <col width="64" customWidth="1" min="10" max="10"/>
    <col width="14" customWidth="1" min="11" max="11"/>
    <col width="44" customWidth="1" min="12" max="12"/>
  </cols>
  <sheetData>
    <row r="1" ht="17" customHeight="1">
      <c r="A1" s="1" t="inlineStr">
        <is>
          <t>Req ID</t>
        </is>
      </c>
      <c r="B1" s="1" t="inlineStr">
        <is>
          <t>Module</t>
        </is>
      </c>
      <c r="C1" s="1" t="inlineStr">
        <is>
          <t>Priority</t>
        </is>
      </c>
      <c r="D1" s="1" t="inlineStr">
        <is>
          <t>Requirement</t>
        </is>
      </c>
      <c r="E1" s="1" t="inlineStr">
        <is>
          <t>What we built</t>
        </is>
      </c>
      <c r="F1" s="1" t="inlineStr">
        <is>
          <t>Portal screen</t>
        </is>
      </c>
      <c r="G1" s="1" t="inlineStr">
        <is>
          <t>Workspace</t>
        </is>
      </c>
      <c r="H1" s="1" t="inlineStr">
        <is>
          <t>Code</t>
        </is>
      </c>
      <c r="I1" s="1" t="inlineStr">
        <is>
          <t>How a user reaches it</t>
        </is>
      </c>
      <c r="J1" s="1" t="inlineStr">
        <is>
          <t>Test cases</t>
        </is>
      </c>
      <c r="K1" s="1" t="inlineStr">
        <is>
          <t>Result</t>
        </is>
      </c>
      <c r="L1" s="1" t="inlineStr">
        <is>
          <t>Explanation / demo example</t>
        </is>
      </c>
    </row>
    <row r="2" ht="82" customHeight="1">
      <c r="A2" s="2" t="inlineStr">
        <is>
          <t>G-1</t>
        </is>
      </c>
      <c r="B2" s="3" t="inlineStr">
        <is>
          <t>CGF</t>
        </is>
      </c>
      <c r="C2" s="2" t="inlineStr">
        <is>
          <t>Mandatory</t>
        </is>
      </c>
      <c r="D2" s="3" t="inlineStr">
        <is>
          <t>The system shall provide a centralized, searchable repository of every committee and governance forum, holding forum details, charter documents and associated metadata. Access, visibility and permitted actions shall be governed by role-based access control.</t>
        </is>
      </c>
      <c r="E2" s="3" t="inlineStr">
        <is>
          <t>Governance Forum with DocPerm rows; /forums register and /forum detail over the permission-checked REST API; www/forum.py throws for a viewer without read access and offers Edit only with write permission.</t>
        </is>
      </c>
      <c r="F2" s="3" t="inlineStr">
        <is>
          <t>/forums
/forum?name=…</t>
        </is>
      </c>
      <c r="G2" s="3" t="inlineStr">
        <is>
          <t>/app/governance-forum — Governance workspace</t>
        </is>
      </c>
      <c r="H2" s="3" t="inlineStr">
        <is>
          <t>consilium/www/forum.py (portal page)
consilium/www/forums.py (portal page)
consilium/governance/doctype/governance_forum/governance_forum.py (Governance Forum)
consilium/governance/inventory.py (module under the cited tests)</t>
        </is>
      </c>
      <c r="I2" s="3" t="inlineStr">
        <is>
          <t>(a) Through a purpose-built portal screen</t>
        </is>
      </c>
      <c r="J2" s="3" t="inlineStr">
        <is>
          <t>governance.tests.test_entities.TestGovernanceEntities.* (all 19)
governance.tests.test_inventory.TestSearchAndFilter.test_search_respects_permissions
consilium_core.tests.test_portal_pages.TestReaderWithoutAccess.* (all 2)</t>
        </is>
      </c>
      <c r="K2" s="2" t="inlineStr">
        <is>
          <t>✅</t>
        </is>
      </c>
      <c r="L2" s="3" t="inlineStr">
        <is>
          <t>14 forums, from FRM-2026-00001 Board of Directors down to working groups (FRM-2026-00013).</t>
        </is>
      </c>
    </row>
    <row r="3" ht="108" customHeight="1">
      <c r="A3" s="2" t="inlineStr">
        <is>
          <t>G-2</t>
        </is>
      </c>
      <c r="B3" s="3" t="inlineStr">
        <is>
          <t>CGF</t>
        </is>
      </c>
      <c r="C3" s="2" t="inlineStr">
        <is>
          <t>Mandatory</t>
        </is>
      </c>
      <c r="D3" s="3" t="inlineStr">
        <is>
          <t>The system shall provide advanced search and filtering of forums by any indexed metadata field.</t>
        </is>
      </c>
      <c r="E3" s="3" t="inlineStr">
        <is>
          <t>/forums filters by type, status, cadence, risk category, operating group and standing, plus the four multi-valued dimensions (inventory.inventory_filters, inventory.tagged_forum_names, intersecting). Free-text search over name, code and mandate, also taken from ?q=. The header's global search finds a forum by identifier or name from any page (consilium_core/search.py). Retired taxonomy values are marked, not offered as new. Paged server-side, with Export CSV.</t>
        </is>
      </c>
      <c r="F3" s="3" t="inlineStr">
        <is>
          <t>/forums</t>
        </is>
      </c>
      <c r="G3" s="3" t="inlineStr">
        <is>
          <t>/app/governance-forum — Governance workspace</t>
        </is>
      </c>
      <c r="H3" s="3" t="inlineStr">
        <is>
          <t>consilium/governance/inventory.py → inventory_filters()
consilium/governance/inventory.py → tagged_forum_names()
consilium/consilium_core/search.py
consilium/www/forums.py (portal page)
consilium/governance/doctype/governance_forum/governance_forum.py (Governance Forum)</t>
        </is>
      </c>
      <c r="I3" s="3" t="inlineStr">
        <is>
          <t>(a) Through a purpose-built portal screen</t>
        </is>
      </c>
      <c r="J3" s="3" t="inlineStr">
        <is>
          <t>governance.tests.test_inventory.TestSearchAndFilter.* (all 4)
governance.tests.test_governance_gaps.TestInventoryReads.test_tagged_filters_intersect
governance.tests.test_governance_gaps.TestInventoryReads.test_tagged_names_respect_permission
governance.tests.test_governance_gaps.TestInventoryReads.test_filter_values_include_retired_ones_marked
consilium_core.tests.test_global_search.TestGlobalSearch.* (all 9)</t>
        </is>
      </c>
      <c r="K3" s="2" t="inlineStr">
        <is>
          <t>✅</t>
        </is>
      </c>
      <c r="L3" s="3" t="inlineStr">
        <is>
          <t>/forums?standing=overdue lists FRM-2026-00008 Model Risk Committee (review due 2026-08-14).</t>
        </is>
      </c>
    </row>
    <row r="4" ht="108" customHeight="1">
      <c r="A4" s="2" t="inlineStr">
        <is>
          <t>G-3</t>
        </is>
      </c>
      <c r="B4" s="3" t="inlineStr">
        <is>
          <t>CGF</t>
        </is>
      </c>
      <c r="C4" s="2" t="inlineStr">
        <is>
          <t>Mandatory</t>
        </is>
      </c>
      <c r="D4" s="3" t="inlineStr">
        <is>
          <t>The system shall allow a forum to be tagged with controlled metadata drawn from standard taxonomies, with dependent-field behaviour and dropdown-controlled selection. Minimum attributes: forum identifier, name, type, description, meeting cadence, chair, primary risk category, legal entity, owning organisation (operating group) and owning organisation (line of business).</t>
        </is>
      </c>
      <c r="E4" s="3" t="inlineStr">
        <is>
          <t>Link fields plus four multi-select child tables (business unit, risk type, legal entity, jurisdiction). Operating-group and line-of-business validation. Captured in /create-forum and on desk; shown on /forum. Retired values are not offered (taxonomy standard_queries hook).</t>
        </is>
      </c>
      <c r="F4" s="3" t="inlineStr">
        <is>
          <t>/create-forum
/forum?name=…</t>
        </is>
      </c>
      <c r="G4" s="3" t="inlineStr">
        <is>
          <t>/app/governance-forum — Governance workspace</t>
        </is>
      </c>
      <c r="H4" s="3" t="inlineStr">
        <is>
          <t>consilium/www/create_forum.py (portal page)
consilium/www/forum.py (portal page)
consilium/consilium_core/taxonomy.py (module under the cited tests)
consilium/governance/doctype/governance_forum/governance_forum.py (Governance Forum)</t>
        </is>
      </c>
      <c r="I4" s="3" t="inlineStr">
        <is>
          <t>(a) Through a purpose-built portal screen</t>
        </is>
      </c>
      <c r="J4" s="3" t="inlineStr">
        <is>
          <t>governance.tests.test_entities.TestGovernanceEntities.test_four_dimensions_are_multi_valued_and_two_are_not
governance.tests.test_entities.TestGovernanceEntities.test_the_owning_organisation_must_be_an_operating_group
governance.tests.test_entities.TestGovernanceEntities.test_a_line_of_business_must_sit_under_its_operating_group
consilium_core.tests.test_entities.TestTaxonomies.* (all 9)
consilium_core.tests.test_taxonomy.TestActiveOnlySearch.* (all 6)</t>
        </is>
      </c>
      <c r="K4" s="2" t="inlineStr">
        <is>
          <t>✅</t>
        </is>
      </c>
      <c r="L4" s="3" t="inlineStr">
        <is>
          <t>FRM-2026-00007 Technology and Cyber Risk Committee: type MGMT_CTTE, regulatory-required, 2 business units and 3 risk types.</t>
        </is>
      </c>
    </row>
    <row r="5" ht="121" customHeight="1">
      <c r="A5" s="2" t="inlineStr">
        <is>
          <t>G-4</t>
        </is>
      </c>
      <c r="B5" s="3" t="inlineStr">
        <is>
          <t>CGF</t>
        </is>
      </c>
      <c r="C5" s="2" t="inlineStr">
        <is>
          <t>Mandatory</t>
        </is>
      </c>
      <c r="D5" s="3" t="inlineStr">
        <is>
          <t>The system shall allow a forum to be mapped to related forums (upstream and downstream), to be flagged as regulatory-required with dependent capture of the applicable regulatory requirements.</t>
        </is>
      </c>
      <c r="E5" s="3" t="inlineStr">
        <is>
          <t>parent_forum, Forum Link (upstream and downstream), and Forum Regulatory Requirement, required when the flag is set. inventory.interconnectivity is drawn as SVG on /forum (Linkages tab). Links are edited on desk.</t>
        </is>
      </c>
      <c r="F5" s="3" t="inlineStr">
        <is>
          <t>/forum?name=…</t>
        </is>
      </c>
      <c r="G5" s="3" t="inlineStr">
        <is>
          <t>/app/governance-forum → 'Forum Link' table
/app/governance-forum → 'Forum Regulatory Requirement' table</t>
        </is>
      </c>
      <c r="H5" s="3" t="inlineStr">
        <is>
          <t>consilium/governance/inventory.py → interconnectivity()
consilium/www/forum.py (portal page)</t>
        </is>
      </c>
      <c r="I5" s="3" t="inlineStr">
        <is>
          <t>(a) Through a purpose-built portal screen</t>
        </is>
      </c>
      <c r="J5" s="3" t="inlineStr">
        <is>
          <t>governance.tests.test_entities.TestGovernanceEntities.test_regulatory_detail_becomes_required_when_the_flag_is_set
governance.tests.test_entities.TestGovernanceEntities.test_a_forum_cannot_be_its_own_ancestor
governance.tests.test_entities.TestGovernanceEntities.test_a_link_takes_its_direction_from_the_field_it_sits_in
governance.tests.test_entities.TestGovernanceEntities.test_a_forum_cannot_link_to_itself
governance.tests.test_inventory.TestRelationships.* (all 2)</t>
        </is>
      </c>
      <c r="K5" s="2" t="inlineStr">
        <is>
          <t>✅</t>
        </is>
      </c>
      <c r="L5" s="3" t="inlineStr">
        <is>
          <t>15 Forum Link rows. FRM-2026-00005 Executive Risk Committee answers to FRM-2026-00004 and FRM-2026-00002 and has five sub-committees. 7 regulatory-required forums, for example FRM-2026-00010 with 2 requirements.</t>
        </is>
      </c>
    </row>
    <row r="6" ht="147" customHeight="1">
      <c r="A6" s="2" t="inlineStr">
        <is>
          <t>G-5</t>
        </is>
      </c>
      <c r="B6" s="3" t="inlineStr">
        <is>
          <t>CGF</t>
        </is>
      </c>
      <c r="C6" s="2" t="inlineStr">
        <is>
          <t>Mandatory</t>
        </is>
      </c>
      <c r="D6" s="3" t="inlineStr">
        <is>
          <t>The system shall support the committee formation process: structured intake, evaluation against defined criteria, capture of approval evidence, exception handling and status tracking. Evaluation criteria: gap in risk or governance coverage; duplication with existing forums; clear escalation and reporting pathways; alignment with the risk management framework, risk taxonomy and policy structure; resource feasibility. Charter drafts must be reviewable by the Risk Governance Office for completeness and appropriateness before approval. Acceptable approval evidence includes email, meeting minutes and signed documents. Disputes and exceptions resolve through the Head of Risk Governance.</t>
        </is>
      </c>
      <c r="E6" s="3" t="inlineStr">
        <is>
          <t>Committee Formation Request + Formation Evaluation (5 criteria seeded) + formation.py. /create-forum → /formation-requests → /formation-request covers findings, return and respond, approval steps, exception to the designated authority, charter challenge, approve, reject and withdraw. Approval creates a draft forum. Gap: Charter Approval Evidence rows are captured on desk only (DK-1 is in the trace).</t>
        </is>
      </c>
      <c r="F6" s="3" t="inlineStr">
        <is>
          <t>/create-forum
/formation-requests
/formation-request?name=…</t>
        </is>
      </c>
      <c r="G6" s="3" t="inlineStr">
        <is>
          <t>/app/committee-formation-request — Governance workspace
/app/committee-formation-request → 'Formation Evaluation' table
/app/committee-charter → 'Charter Approval Evidence' table</t>
        </is>
      </c>
      <c r="H6" s="3" t="inlineStr">
        <is>
          <t>consilium/governance/formation.py
consilium/www/create_forum.py (portal page)
consilium/www/formation_requests.py (portal page)
consilium/www/formation_request.py (portal page)
consilium/governance/doctype/committee_formation_request/committee_formation_request.py (Committee Formation Request)</t>
        </is>
      </c>
      <c r="I6" s="3" t="inlineStr">
        <is>
          <t>(a) Through a purpose-built portal screen</t>
        </is>
      </c>
      <c r="J6" s="3" t="inlineStr">
        <is>
          <t>governance.tests.test_formation.* (all 27)
governance.tests.test_formation_portal.* (all 35)</t>
        </is>
      </c>
      <c r="K6" s="2" t="inlineStr">
        <is>
          <t>✅</t>
        </is>
      </c>
      <c r="L6" s="3" t="inlineStr">
        <is>
          <t>One request at each stage: CFR-2026-00006 Draft; 00004 Under Evaluation; 00003 Returned To Originator; 00002 Pending Approval; 00005 Rejected; 00001 Approved → FRM-2026-00014 Data Governance Council, with bypass EXCA-00001.</t>
        </is>
      </c>
    </row>
    <row r="7" ht="160" customHeight="1">
      <c r="A7" s="2" t="inlineStr">
        <is>
          <t>G-6</t>
        </is>
      </c>
      <c r="B7" s="3" t="inlineStr">
        <is>
          <t>CGF</t>
        </is>
      </c>
      <c r="C7" s="2" t="inlineStr">
        <is>
          <t>Mandatory</t>
        </is>
      </c>
      <c r="D7" s="3" t="inlineStr">
        <is>
          <t>The system shall support administratively configurable automated workflows for establishing, maintaining and disbanding forums, including approvals and escalations, without custom development.</t>
        </is>
      </c>
      <c r="E7" s="3" t="inlineStr">
        <is>
          <t>Formation Approval Route (steps, sequence and mode as data); Workflow State Flag (130 rows); Watched Field Set; disbandment trigger scenarios and approver roles are select options. Nothing branches on a state label. All on desk.</t>
        </is>
      </c>
      <c r="F7" s="3" t="inlineStr">
        <is>
          <t>— (no portal screen)</t>
        </is>
      </c>
      <c r="G7" s="3" t="inlineStr">
        <is>
          <t>/app/formation-approval-route — Governance workspace
/app/workflow-state-flag — Consilium Administration workspace
/app/watched-field-set — Consilium Administration workspace</t>
        </is>
      </c>
      <c r="H7" s="3" t="inlineStr">
        <is>
          <t>consilium/governance/doctype/formation_approval_route/formation_approval_route.py (Formation Approval Route)
consilium/consilium_core/doctype/workflow_state_flag/workflow_state_flag.py (Workflow State Flag)
consilium/consilium_core/doctype/watched_field_set/watched_field_set.py (Watched Field Set)
consilium/governance/formation.py (module under the cited tests)
consilium/consilium_core/state_flags.py (module under the cited tests)
consilium/governance/lifecycle.py (module under the cited tests)</t>
        </is>
      </c>
      <c r="I7" s="3" t="inlineStr">
        <is>
          <t>(b) Through the desk, configuration or a scheduled job — by design</t>
        </is>
      </c>
      <c r="J7" s="3" t="inlineStr">
        <is>
          <t>governance.tests.test_formation.TestApprovalRoute.test_the_steps_are_configuration
governance.tests.test_formation.TestApprovalRoute.test_a_route_change_changes_the_steps_without_a_deployment
consilium_core.tests.test_state_flags.TestStateFlags.* (all 7)
governance.tests.test_lifecycle.TestStateFlags.* (all 3)
governance.tests.test_lifecycle.TestWatchedFields.* (all 5)</t>
        </is>
      </c>
      <c r="K7" s="2" t="inlineStr">
        <is>
          <t>✅</t>
        </is>
      </c>
      <c r="L7" s="3" t="inlineStr">
        <is>
          <t>"Standard Formation Approval" route (request type Any). CFR-2026-00002 shows the three steps it raised.</t>
        </is>
      </c>
    </row>
    <row r="8" ht="199" customHeight="1">
      <c r="A8" s="2" t="inlineStr">
        <is>
          <t>G-7</t>
        </is>
      </c>
      <c r="B8" s="3" t="inlineStr">
        <is>
          <t>CGF</t>
        </is>
      </c>
      <c r="C8" s="2" t="inlineStr">
        <is>
          <t>Mandatory</t>
        </is>
      </c>
      <c r="D8" s="3" t="inlineStr">
        <is>
          <t>The system shall prevent progression of a formation request when required information, approvals or evidence are incomplete or inconsistent. It shall validate intake completeness, check the request against the existing forum inventory for overlap or conflict, allow review and challenge of the draft charter before the requester seeks final approval, and validate submitted approvals against the intake record and charter before the forum inventory is updated.</t>
        </is>
      </c>
      <c r="E8" s="3" t="inlineStr">
        <is>
          <t>formation.approval_blockers covers: unassessed criteria; completeness confirmation; undecided steps; refused steps not bypassed; and an uncleared charter challenge (charters.uncleared_challenges). The challenge is recorded on /formation-request (charters.record_charter_challenge). An open challenge also blocks a favourable compliance decision (lifecycle.refuse_standing_over_open_challenge). Gap: the charter's approval evidence (in charters.clearance_blockers) is shown on /forum but is not a formation approval blocker.</t>
        </is>
      </c>
      <c r="F8" s="3" t="inlineStr">
        <is>
          <t>/formation-request?name=…
/forum?name=…</t>
        </is>
      </c>
      <c r="G8" s="3" t="inlineStr">
        <is>
          <t>/app/committee-formation-request — Governance workspace
/app/committee-charter — Governance workspace
/app/governance-forum — Governance workspace</t>
        </is>
      </c>
      <c r="H8" s="3" t="inlineStr">
        <is>
          <t>consilium/governance/formation.py → approval_blockers()
consilium/governance/charters.py → uncleared_challenges()
consilium/governance/charters.py → record_charter_challenge()
consilium/governance/lifecycle.py → refuse_standing_over_open_challenge()
consilium/governance/charters.py → clearance_blockers()
consilium/www/formation_request.py (portal page)
consilium/www/forum.py (portal page)
consilium/governance/doctype/committee_formation_request/committee_formation_request.py (Committee Formation Request)
consilium/governance/doctype/committee_charter/committee_charter.py (Committee Charter)
consilium/governance/doctype/governance_forum/governance_forum.py (Governance Forum)</t>
        </is>
      </c>
      <c r="I8" s="3" t="inlineStr">
        <is>
          <t>(a) Through a purpose-built portal screen</t>
        </is>
      </c>
      <c r="J8" s="3" t="inlineStr">
        <is>
          <t>governance.tests.test_formation.TestIntake.test_submission_runs_the_overlap_check
governance.tests.test_formation.TestEvaluation.* (all 4)
governance.tests.test_governance_gaps.TestFormationCharterGate.* (all 2)
governance.tests.test_governance_gaps.TestStandingGate.* (all 3)
governance.tests.test_wave3_governance.TestCharterChallengeOnTheRequest.* (all 2)
governance.tests.test_charters.TestEffectiveChallenge.* (all 4)</t>
        </is>
      </c>
      <c r="K8" s="2" t="inlineStr">
        <is>
          <t>✅</t>
        </is>
      </c>
      <c r="L8" s="3" t="inlineStr">
        <is>
          <t>CFR-2026-00002 is held by CHT-2026-00014 "Changes Requested" and by an open Delegating Authority step. CHT-2026-00007 (FRM-2026-00007) "Changes Requested".</t>
        </is>
      </c>
    </row>
    <row r="9" ht="147" customHeight="1">
      <c r="A9" s="2" t="inlineStr">
        <is>
          <t>G-8</t>
        </is>
      </c>
      <c r="B9" s="3" t="inlineStr">
        <is>
          <t>CGF</t>
        </is>
      </c>
      <c r="C9" s="2" t="inlineStr">
        <is>
          <t>Mandatory</t>
        </is>
      </c>
      <c r="D9" s="3" t="inlineStr">
        <is>
          <t>The system shall support a multi-step approval process across stakeholders and roles, with sequential or parallel approvals, capturing charter approval. Approval paths may differ by materiality of change and by forum type.</t>
        </is>
      </c>
      <c r="E9" s="3" t="inlineStr">
        <is>
          <t>Route steps become Core Approval Decisions. Sequential order is enforced in approvals.record_decision (waiting_on, is_turn). Parallel steps and peers sharing a sequence number do not wait. Role-based steps form a queue. Steps are decided on /formation-request by the assignee, a queue member or a delegate. A bypass needs an Exception Authorisation, waives only its own step, and cannot be made by the step's own holder. Missing: the path cannot differ by forum type or by materiality of change. formation.resolve_route selects only by request_type (Any, Create, Modify, Retire), and Formation Approval Route has no forum-type or materiality field.</t>
        </is>
      </c>
      <c r="F9" s="3" t="inlineStr">
        <is>
          <t>/formation-request?name=…</t>
        </is>
      </c>
      <c r="G9" s="3" t="inlineStr">
        <is>
          <t>/app/approval-decision — Consilium Administration workspace
/app/exception-authorisation — Consilium Administration workspace
/app/formation-approval-route — Governance workspace</t>
        </is>
      </c>
      <c r="H9" s="3" t="inlineStr">
        <is>
          <t>consilium/consilium_core/approvals.py → record_decision()
consilium/consilium_core/approvals.py → waiting_on()
consilium/consilium_core/approvals.py → is_turn()
consilium/governance/formation.py → resolve_route()
consilium/www/formation_request.py (portal page)
consilium/consilium_core/doctype/approval_decision/approval_decision.py (Approval Decision)
consilium/consilium_core/doctype/exception_authorisation/exception_authorisation.py (Exception Authorisation)
consilium/governance/doctype/formation_approval_route/formation_approval_route.py (Formation Approval Route)</t>
        </is>
      </c>
      <c r="I9" s="3" t="inlineStr">
        <is>
          <t>(d) Not implemented, wholly or in a mandatory clause</t>
        </is>
      </c>
      <c r="J9" s="3" t="inlineStr">
        <is>
          <t>governance.tests.test_formation.TestApprovalRoute.* (all 5)
governance.tests.test_formation_portal.TestApprovalThroughThePortal.* (all 5)
consilium_core.tests.test_core_controls_wave3.TestSequentialApprovals.* (all 6)
governance.tests.test_wave3_governance.TestFormationStepOrder.* (all 4)
governance.tests.test_w3_guides.TestABypassWaivesOnlyItsOwnStep.* (all 1)
governance.tests.test_w3_guides.TestNobodyBypassesTheirOwnStep.* (all 2)
governance.tests.test_w3_guides.TestARoleIsAQueue.* (all 5)
consilium_core.tests.test_services.TestApprovals.* (all 5)</t>
        </is>
      </c>
      <c r="K9" s="2" t="inlineStr">
        <is>
          <t>✅ (not the path-selection clause)</t>
        </is>
      </c>
      <c r="L9" s="3" t="inlineStr">
        <is>
          <t>CFR-2026-00002: Risk Governance Office Evaluation (seq 1) approved, Sponsor Endorsement (seq 2) approved, Delegating Authority (seq 2) pending. CFR-2026-00001: Sponsor step bypassed under EXCA-00001.</t>
        </is>
      </c>
    </row>
    <row r="10" ht="134" customHeight="1">
      <c r="A10" s="2" t="inlineStr">
        <is>
          <t>G-9</t>
        </is>
      </c>
      <c r="B10" s="3" t="inlineStr">
        <is>
          <t>CGF</t>
        </is>
      </c>
      <c r="C10" s="2" t="inlineStr">
        <is>
          <t>Mandatory</t>
        </is>
      </c>
      <c r="D10" s="3" t="inlineStr">
        <is>
          <t>The system shall track every change to a forum, maintain complete history, and log every user action with a timestamp and attributed actor. Prior versions shall be archivable and viewable. The system shall additionally allow an authorised user to revert a forum record to a previous version.</t>
        </is>
      </c>
      <c r="E10" s="3" t="inlineStr">
        <is>
          <t>A revision.snapshot doc event on Governance Forum writes a version chain. /forum History tab offers a revision history with Revert (revision.history and revision.revert: reason required, governance office only; lifecycle and derived fields are never restored; reverting a watched field sends the forum back for review). Record history (evidence.record_history, now including notifications) and an evidence-pack ZIP with a SHA-256 manifest (evidence.export_pack).</t>
        </is>
      </c>
      <c r="F10" s="3" t="inlineStr">
        <is>
          <t>/forum?name=…</t>
        </is>
      </c>
      <c r="G10" s="3" t="inlineStr">
        <is>
          <t>/app/governance-forum — Governance workspace</t>
        </is>
      </c>
      <c r="H10" s="3" t="inlineStr">
        <is>
          <t>consilium/consilium_core/revision.py → snapshot()
consilium/consilium_core/revision.py → history()
consilium/consilium_core/revision.py → revert()
consilium/consilium_core/evidence.py → record_history()
consilium/consilium_core/evidence.py → export_pack()
consilium/www/forum.py (portal page)
consilium/governance/doctype/governance_forum/governance_forum.py (Governance Forum)
consilium/consilium_core/versioning.py (module under the cited tests)</t>
        </is>
      </c>
      <c r="I10" s="3" t="inlineStr">
        <is>
          <t>(a) Through a purpose-built portal screen</t>
        </is>
      </c>
      <c r="J10" s="3" t="inlineStr">
        <is>
          <t>consilium_core.tests.test_revision.TestForumRevision.* (all 5)
governance.tests.test_governance_gaps.TestForumRevisionCard.* (all 1)
consilium_core.tests.test_core_controls_wave3.TestHistoryAndEvidencePack.* (all 4)
consilium_core.tests.test_versioning.TestVersioning.* (all 9)
consilium_core.tests.test_entities.TestEntityStructure.test_governed_entities_keep_their_change_history</t>
        </is>
      </c>
      <c r="K10" s="2" t="inlineStr">
        <is>
          <t>✅</t>
        </is>
      </c>
      <c r="L10" s="3" t="inlineStr">
        <is>
          <t>VREV-00001: FRM-2026-00010 Asset-Liability Committee reverted to DVER-00109 with a justification. 40 forum versions.</t>
        </is>
      </c>
    </row>
    <row r="11" ht="303" customHeight="1">
      <c r="A11" s="2" t="inlineStr">
        <is>
          <t>G-10</t>
        </is>
      </c>
      <c r="B11" s="3" t="inlineStr">
        <is>
          <t>CGF</t>
        </is>
      </c>
      <c r="C11" s="2" t="inlineStr">
        <is>
          <t>Mandatory</t>
        </is>
      </c>
      <c r="D11" s="3" t="inlineStr">
        <is>
          <t>The system shall support periodic review schedules including self-assessments, charter reviews and monitoring activities. It shall enforce an annual attestation, conducted in the first quarter, requiring Committee Chairs, Committee Secretaries and Forum Owners to review and confirm the accuracy of the forum inventory.</t>
        </is>
      </c>
      <c r="E11" s="3" t="inlineStr">
        <is>
          <t>Attestation engine with inventory and dual-review campaign types (reviews.open_inventory_attestation; attesting seats CHAIR, SECRETARY, FORUM_OWNER have can_attest). The office opens campaigns and generates tasks from /attestation-campaigns (reviews.open_forum_campaign, generate_forum_campaign_tasks). Tasks are answered and counter-signed in /tasks. Reminders follow each campaign's schedule (reminders.remind_attestation_campaigns, daily). The annual review is run from the forum (/forum-review#annual-review). The overdue chase goes to owners (reminders.remind_forum_reviews). last_attested_on is stamped. Missing: nothing enforces or schedules the first quarter. No job opens the Q1 campaign or flags a year with none. The screen defaults the due date to today + 45 days and accepts any dates.</t>
        </is>
      </c>
      <c r="F11" s="3" t="inlineStr">
        <is>
          <t>/attestation-campaigns
/tasks
/forum-review#annual-review</t>
        </is>
      </c>
      <c r="G11" s="3" t="inlineStr">
        <is>
          <t>/app/attestation-campaign — Consilium Administration workspace
/app/forum-compliance-review — Governance workspace</t>
        </is>
      </c>
      <c r="H11" s="3" t="inlineStr">
        <is>
          <t>consilium/governance/reviews.py → open_inventory_attestation()
consilium/governance/reviews.py → open_forum_campaign()
consilium/governance/reviews.py → generate_forum_campaign_tasks()
consilium/consilium_core/reminders.py → remind_attestation_campaigns()
consilium/consilium_core/reminders.py → remind_forum_reviews()
consilium/www/attestation_campaigns.py (portal page)
consilium/www/tasks.py (portal page)
consilium/consilium_core/attestation.py (module under the cited tests)
consilium/consilium_core/inbox.py (module under the cited tests)
consilium/governance/lifecycle.py (module under the cited tests)
consilium/governance/inventory.py (module under the cited tests)
consilium/consilium_core/doctype/attestation_campaign/attestation_campaign.py (Attestation Campaign)
consilium/governance/doctype/forum_compliance_review/forum_compliance_review.py (Forum Compliance Review)</t>
        </is>
      </c>
      <c r="I11" s="3" t="inlineStr">
        <is>
          <t>(d) Not implemented, wholly or in a mandatory clause</t>
        </is>
      </c>
      <c r="J11" s="3" t="inlineStr">
        <is>
          <t>consilium_core.tests.test_attestation.TestAttestation.* (all 13)
consilium_core.tests.test_attestation.TestUnconfiguredRecordsDoNotStopACampaign.* (all 3)
consilium_core.tests.test_inbox.TestInboxAttestation.* (all 8)
consilium_core.tests.test_inbox.TestSecondSignature.* (all 3)
consilium_core.tests.test_inbox.TestCampaignAdministration.* (all 5)
consilium_core.tests.test_w3_guides_core.TestCampaignReminderSchedule.* (all 4)
consilium_core.tests.test_reminders.TestForumReviewReminders.* (all 1)
governance.tests.test_lifecycle.TestAnnualReview.* (all 4)
governance.tests.test_w3_guides.TestAnnualReviewFromTheForum.* (all 4)
governance.tests.test_inventory.TestAttestationStamp.* (all 3)</t>
        </is>
      </c>
      <c r="K11" s="2" t="inlineStr">
        <is>
          <t>✅ (not the Q1 clause)</t>
        </is>
      </c>
      <c r="L11" s="3" t="inlineStr">
        <is>
          <t>ACAM-00002 "Forum inventory attestation 2026": 22 attested, 3 with exceptions, 3 declined, 11 pending. It opened 2026-08-04, due 2026-10-03, so outside Q1. ACAM-00003 dual review; ACAM-00001 (2025) closed. Annual reviews FCR-2026-00015/16/17.</t>
        </is>
      </c>
    </row>
    <row r="12" ht="186" customHeight="1">
      <c r="A12" s="2" t="inlineStr">
        <is>
          <t>G-11</t>
        </is>
      </c>
      <c r="B12" s="3" t="inlineStr">
        <is>
          <t>CGF</t>
        </is>
      </c>
      <c r="C12" s="2" t="inlineStr">
        <is>
          <t>Mandatory</t>
        </is>
      </c>
      <c r="D12" s="3" t="inlineStr">
        <is>
          <t>The system shall provide a configurable disbandment workflow covering trigger scenarios (annual inventory review, self-assessment outcome, charter review, completion of mandate), validation of closure approvals from the delegating authority, sponsor, chair and — where applicable — the jurisdictional Chief Risk Officer, and capture of a formal disbandment plan as an uploaded, tracked artefact.</t>
        </is>
      </c>
      <c r="E12" s="3" t="inlineStr">
        <is>
          <t>/forum-disband (linked from /forum): lifecycle.raise_disbandment_plan (the governance office; five trigger scenarios; delegating authority, sponsor and chair required, jurisdictional CRO optional); attach_disbandment_file (only a file attached to this plan); record_disbandment_decision (approver or delegate); execute_forum_disbandment (waits for every approval; the forum becomes inactive, never deleted).</t>
        </is>
      </c>
      <c r="F12" s="3" t="inlineStr">
        <is>
          <t>/forum-disband?name=…
/forum?name=…</t>
        </is>
      </c>
      <c r="G12" s="3" t="inlineStr">
        <is>
          <t>/app/disbandment-plan — Governance workspace
/app/governance-forum — Governance workspace</t>
        </is>
      </c>
      <c r="H12" s="3" t="inlineStr">
        <is>
          <t>consilium/governance/lifecycle.py → raise_disbandment_plan()
consilium/governance/lifecycle.py → attach_disbandment_file()
consilium/governance/lifecycle.py → record_disbandment_decision()
consilium/governance/lifecycle.py → execute_forum_disbandment()
consilium/www/forum_disband.py (portal page)
consilium/www/forum.py (portal page)
consilium/governance/doctype/disbandment_plan/disbandment_plan.py (Disbandment Plan)
consilium/governance/doctype/governance_forum/governance_forum.py (Governance Forum)</t>
        </is>
      </c>
      <c r="I12" s="3" t="inlineStr">
        <is>
          <t>(a) Through a purpose-built portal screen</t>
        </is>
      </c>
      <c r="J12" s="3" t="inlineStr">
        <is>
          <t>governance.tests.test_governance_gaps.TestDisbandmentPortal.* (all 8)
governance.tests.test_lifecycle.TestDisbandment.* (all 5)
governance.tests.test_entities.TestGovernanceEntities.test_a_disbandment_plan_needs_the_approvals_it_requires
governance.tests.test_formation_portal.TestComplianceReviewThroughThePortal.test_a_disbanded_forum_is_not_reviewed_again</t>
        </is>
      </c>
      <c r="K12" s="2" t="inlineStr">
        <is>
          <t>✅</t>
        </is>
      </c>
      <c r="L12" s="3" t="inlineStr">
        <is>
          <t>FDIS-2026-00001: FRM-2026-00012 Outsourcing Oversight Forum disbanded 2026-04-21, successor FRM-2026-00013. FDIS-2026-00002 (FRM-2026-00013) live: delegating authority approved, sponsor and chair pending. Neither demo plan has a plan file attached.</t>
        </is>
      </c>
    </row>
    <row r="13" ht="134" customHeight="1">
      <c r="A13" s="2" t="inlineStr">
        <is>
          <t>G-12</t>
        </is>
      </c>
      <c r="B13" s="3" t="inlineStr">
        <is>
          <t>CGF</t>
        </is>
      </c>
      <c r="C13" s="2" t="inlineStr">
        <is>
          <t>Mandatory</t>
        </is>
      </c>
      <c r="D13" s="3" t="inlineStr">
        <is>
          <t>The system shall provide reporting and dashboards for oversight of forums enterprise-wide: status, coverage, compliance and performance metrics; filtering, aggregation and drill-down by forum type, status, legal entity, risk coverage, ownership and review or attestation status; current and historical views including forums in formation, active forums, upcoming reviews, overdue actions and service-level performance; export of reports and artefacts for management, audit and regulatory needs.</t>
        </is>
      </c>
      <c r="E13" s="3" t="inlineStr">
        <is>
          <t>/reports: forums awaiting review, overdue, regulatory-required, disbanded; by compliance status and by type; coverage matrix of risk category by owning group, with empty cells highlighted. Every figure links to the filtered /forums. Also /governance-gaps (ai.gaps.detect: coverage, forum, policy and regulatory gaps; ai.scoring.assess); /formation-requests for forums in formation; /attestation-campaigns board for attestation status. Export CSV on /forums exports the matching rows through the permission-checked list (up to 5,000 rows, formula-safe). Gap: no service-level performance for forums or formation (no SLA Definition targets either doctype).</t>
        </is>
      </c>
      <c r="F13" s="3" t="inlineStr">
        <is>
          <t>/reports
/forums
/governance-gaps
/formation-requests
/attestation-campaigns</t>
        </is>
      </c>
      <c r="G13" s="3" t="inlineStr">
        <is>
          <t>/app/sla-definition — Consilium Administration workspace</t>
        </is>
      </c>
      <c r="H13" s="3" t="inlineStr">
        <is>
          <t>consilium/www/reports.py (portal page)
consilium/www/forums.py (portal page)
consilium/www/governance_gaps.py (portal page)
consilium/www/formation_requests.py (portal page)
consilium/www/attestation_campaigns.py (portal page)
consilium/consilium_core/doctype/sla_definition/sla_definition.py (SLA Definition)</t>
        </is>
      </c>
      <c r="I13" s="3" t="inlineStr">
        <is>
          <t>(c) Partly: the backend exists, but a step has no screen, is desk-only where a custom screen is called for, or is reachable only from code</t>
        </is>
      </c>
      <c r="J13" s="3" t="inlineStr">
        <is>
          <t>consilium_core.tests.test_ai_features.TestGaps.test_forum_policy_regulatory_and_coverage_gaps_are_found
consilium_core.tests.test_ai_features.TestPages.* (all 1)
consilium_core.tests.test_portal_pages.TestAdministrator.test_every_page_renders_with_its_key_sections</t>
        </is>
      </c>
      <c r="K13" s="2" t="inlineStr">
        <is>
          <t>✅ (gap rules and page render only; no forum figure is tested)</t>
        </is>
      </c>
      <c r="L13" s="3" t="inlineStr">
        <is>
          <t>FRM-2026-00007 Non-Compliant; FRM-2026-00013 Pending; FRM-2026-00011 and FRM-2026-00014 Draft; FRM-2026-00012 Disbanded; FRM-2026-00008 overdue.</t>
        </is>
      </c>
    </row>
    <row r="14" ht="121" customHeight="1">
      <c r="A14" s="2" t="inlineStr">
        <is>
          <t>G-13</t>
        </is>
      </c>
      <c r="B14" s="3" t="inlineStr">
        <is>
          <t>CGF</t>
        </is>
      </c>
      <c r="C14" s="2" t="inlineStr">
        <is>
          <t>Mandatory</t>
        </is>
      </c>
      <c r="D14" s="3" t="inlineStr">
        <is>
          <t>The system shall provide role-based access for individuals and their delegates (Committee Secretary, Forum Owner, Reviewer, Approver, Viewer, Administrator). It shall support grouping users by role and attribute (line of business, first/second line of defence, legal, compliance, voting versus non-voting). Chairs, sponsors and secretaries shall be able to nominate delegates for administrative tasks.</t>
        </is>
      </c>
      <c r="E14" s="3" t="inlineStr">
        <is>
          <t>Roles (Committee Secretary, Forum Owner, Compliance Reviewer, Governance Viewer, Risk Governance Office, Consilium Administrator, Consilium Audit and others). Seat roles carry vote, quorum and attest flags. Authority Delegation with a validity window (delegation.resolve_actor). Seat delegates on Forum Membership. Gap: chairs and sponsors cannot nominate a delegate themselves. Only System Manager and Consilium Administrator may create Authority Delegation. Seat delegates are set on desk by the Committee Secretary or the governance office.</t>
        </is>
      </c>
      <c r="F14" s="3" t="inlineStr">
        <is>
          <t>— (no portal screen)</t>
        </is>
      </c>
      <c r="G14" s="3" t="inlineStr">
        <is>
          <t>/app/authority-delegation — Consilium Administration workspace
/app/forum-membership — Governance workspace</t>
        </is>
      </c>
      <c r="H14" s="3" t="inlineStr">
        <is>
          <t>consilium/consilium_core/delegation.py → resolve_actor()
consilium/consilium_core/doctype/authority_delegation/authority_delegation.py (Authority Delegation)
consilium/governance/doctype/forum_membership/forum_membership.py (Forum Membership)
consilium/governance/membership.py (module under the cited tests)
consilium/governance/voting.py (module under the cited tests)</t>
        </is>
      </c>
      <c r="I14" s="3" t="inlineStr">
        <is>
          <t>(c) Partly: the backend exists, but a step has no screen, is desk-only where a custom screen is called for, or is reachable only from code</t>
        </is>
      </c>
      <c r="J14" s="3" t="inlineStr">
        <is>
          <t>consilium_core.tests.test_delegation.TestDelegation.* (all 13)
consilium_core.tests.test_entities.TestPermissions.* (all 5)
governance.tests.test_membership.TestDelegation.* (all 3)
governance.tests.test_voting.TestDelegatedVoting.* (all 3)
governance.tests.test_w3_guides.TestARoleIsAQueue.* (all 5)</t>
        </is>
      </c>
      <c r="K14" s="2" t="inlineStr">
        <is>
          <t>✅</t>
        </is>
      </c>
      <c r="L14" s="3" t="inlineStr">
        <is>
          <t>23 personas. ADEL-00001…00004 (ADEL-00002 expired). FMEM-00031 on FRM-2026-00005 has a standing delegate.</t>
        </is>
      </c>
    </row>
    <row r="15" ht="173" customHeight="1">
      <c r="A15" s="2" t="inlineStr">
        <is>
          <t>G-14</t>
        </is>
      </c>
      <c r="B15" s="3" t="inlineStr">
        <is>
          <t>CGF</t>
        </is>
      </c>
      <c r="C15" s="2" t="inlineStr">
        <is>
          <t>Mandatory</t>
        </is>
      </c>
      <c r="D15" s="3" t="inlineStr">
        <is>
          <t>The system shall send configurable, templated, automated notifications for approvals, reviews, escalations, meeting schedules, annual attestation and charter reviews.</t>
        </is>
      </c>
      <c r="E15" s="3" t="inlineStr">
        <is>
          <t>Notification Template per event (49, admin-editable per channel; notification.notify). There is an e-mail adapter over SMTP or Microsoft Graph, falling back to the record channel, with retry. Every caller now raises an event; none sends hard-coded text. Governance events: formation returned, approval requested, exception raised, approved and rejected; forum review recorded, returned for review and disbanded; disbandment approval requested (governance.disbandment.approval_requested, from lifecycle.raise_disbandment); forum review overdue; attestation open and second signature missing; attestation task reminder. Missing: no notification for meeting schedules or charter reviews (no event code, template or caller).</t>
        </is>
      </c>
      <c r="F15" s="3" t="inlineStr">
        <is>
          <t>— (no portal screen)</t>
        </is>
      </c>
      <c r="G15" s="3" t="inlineStr">
        <is>
          <t>/app/notification-template — Consilium Administration workspace</t>
        </is>
      </c>
      <c r="H15" s="3" t="inlineStr">
        <is>
          <t>consilium/consilium_core/notification.py → notify()
consilium/governance/lifecycle.py → raise_disbandment()
consilium/consilium_core/doctype/notification_template/notification_template.py (Notification Template)
consilium/consilium_core/setup/notification_templates.py (module under the cited tests)
consilium/governance/formation.py (module under the cited tests)</t>
        </is>
      </c>
      <c r="I15" s="3" t="inlineStr">
        <is>
          <t>(d) Not implemented, wholly or in a mandatory clause</t>
        </is>
      </c>
      <c r="J15" s="3" t="inlineStr">
        <is>
          <t>governance.tests.test_wave3_governance.TestTemplatedNotices.* (all 3)
consilium_core.tests.test_notification_templates.TestSeeding.* (all 2)
consilium_core.tests.test_notification_templates.TestEventApi.* (all 10)
consilium_core.tests.test_notification_templates.TestTemplateFailures.* (all 5)
consilium_core.tests.test_notification_templates.TestEmailRetry.* (all 3)
consilium_core.tests.test_notification.TestNotification.* (all 6)
governance.tests.test_formation.TestReturnToOriginator.test_the_originator_is_notified
governance.tests.test_lifecycle.TestWatchedFields.test_compliance_is_notified_and_a_task_is_raised
governance.tests.test_governance_gaps.TestDisbandmentPortal.test_raising_names_g11s_approvers_and_asks_them</t>
        </is>
      </c>
      <c r="K15" s="2" t="inlineStr">
        <is>
          <t>✅ (what exists; nothing tests the missing meeting and charter notices)</t>
        </is>
      </c>
      <c r="L15" s="3" t="inlineStr">
        <is>
          <t>201 dispatches: 178 EMAIL, 23 RECORD. For example "Formation approval requested" (8), "Compliance review recorded" (34). The 2 "Forum disbandment awaits your approval" dispatches were written by the demo load before that notice was templated. Reminder Log row for governance.forum_review.overdue on FRM-2026-00008.</t>
        </is>
      </c>
    </row>
    <row r="16" ht="82" customHeight="1">
      <c r="A16" s="2" t="inlineStr">
        <is>
          <t>G-15</t>
        </is>
      </c>
      <c r="B16" s="3" t="inlineStr">
        <is>
          <t>CGF</t>
        </is>
      </c>
      <c r="C16" s="2" t="inlineStr">
        <is>
          <t>Mandatory</t>
        </is>
      </c>
      <c r="D16" s="3" t="inlineStr">
        <is>
          <t>The system shall allow documents to be attached without restriction on type or count — templates, charters and mandates, agendas, meeting minutes and related material — with version control, and shall show an audit log of all activity. All documents and history shall be retained.</t>
        </is>
      </c>
      <c r="E16" s="3" t="inlineStr">
        <is>
          <t>Native attachments and activity log. On /forum Documents: start a charter (charters.start_forum_charter) and take a new charter version with a change summary (charters.publish_charter_version, only a file attached to that charter; this reopens the challenge). Minutes are versioned through the desk button "Record minutes" (meetings.record_meeting_minutes). Meeting agenda file. Deletion guarded.</t>
        </is>
      </c>
      <c r="F16" s="3" t="inlineStr">
        <is>
          <t>/forum?name=…</t>
        </is>
      </c>
      <c r="G16" s="3" t="inlineStr">
        <is>
          <t>desk button — consilium/governance/doctype/forum_meeting/forum_meeting.js</t>
        </is>
      </c>
      <c r="H16" s="3" t="inlineStr">
        <is>
          <t>consilium/governance/charters.py → start_forum_charter()
consilium/governance/charters.py → publish_charter_version()
consilium/governance/meetings.py → record_meeting_minutes()
consilium/www/forum.py (portal page)</t>
        </is>
      </c>
      <c r="I16" s="3" t="inlineStr">
        <is>
          <t>(a) Through a purpose-built portal screen</t>
        </is>
      </c>
      <c r="J16" s="3" t="inlineStr">
        <is>
          <t>governance.tests.test_governance_gaps.TestCharterPortal.* (all 9)
governance.tests.test_charters.TestCharterVersions.* (all 2)
governance.tests.test_regressions.TestMinutes.* (all 3)</t>
        </is>
      </c>
      <c r="K16" s="2" t="inlineStr">
        <is>
          <t>✅</t>
        </is>
      </c>
      <c r="L16" s="3" t="inlineStr">
        <is>
          <t>14 charters, 17 charter versions (CHT-2026-00005, CHT-2026-00007 and CHT-2026-00011 have 2 each). 67 meetings, 38 with a minutes version (for example FMTG-2026-00035).</t>
        </is>
      </c>
    </row>
    <row r="17" ht="147" customHeight="1">
      <c r="A17" s="2" t="inlineStr">
        <is>
          <t>G-16</t>
        </is>
      </c>
      <c r="B17" s="3" t="inlineStr">
        <is>
          <t>CGF</t>
        </is>
      </c>
      <c r="C17" s="2" t="inlineStr">
        <is>
          <t>Mandatory</t>
        </is>
      </c>
      <c r="D17" s="3" t="inlineStr">
        <is>
          <t>The system shall retain data and documents in accordance with the applicable retention policy and requirements, and shall hold documents and data in a write-once, read-many form for the duration of their retention period.</t>
        </is>
      </c>
      <c r="E17" s="3" t="inlineStr">
        <is>
          <t>Retention class, assignment and legal hold on desk. guard_modification and guard_deletion on every doctype. Hash-chained Archive Record. The daily retention.flag_due_for_disposal puts past-retention archives up for approved disposition (held when under legal hold) and deletes nothing. Gap: nothing in the application creates an Archive Record. execute_disposition and release_hold have no caller outside tests, so an approved disposal cannot be carried out from any screen. 0 Retention Assignments on the demo site, so no governance record is actually under retention or WORM (retention_lock reads assignments, not the forum's retention_class field).</t>
        </is>
      </c>
      <c r="F17" s="3" t="inlineStr">
        <is>
          <t>— (no portal screen)</t>
        </is>
      </c>
      <c r="G17" s="3" t="inlineStr">
        <is>
          <t>/app/archive-record — Consilium Administration workspace</t>
        </is>
      </c>
      <c r="H17" s="3" t="inlineStr">
        <is>
          <t>consilium/consilium_core/retention.py → guard_modification()
consilium/consilium_core/retention.py → guard_deletion()
consilium/consilium_core/retention.py → flag_due_for_disposal()
consilium/consilium_core/retention.py → execute_disposition()
consilium/consilium_core/retention.py → release_hold()
consilium/consilium_core/retention.py → retention_lock()
consilium/consilium_core/doctype/archive_record/archive_record.py (Archive Record)</t>
        </is>
      </c>
      <c r="I17" s="3" t="inlineStr">
        <is>
          <t>(c) Partly: the backend exists, but a step has no screen, is desk-only where a custom screen is called for, or is reachable only from code</t>
        </is>
      </c>
      <c r="J17" s="3" t="inlineStr">
        <is>
          <t>consilium_core.tests.test_retention.TestRetention.* (all 14)
consilium_core.tests.test_core_controls_wave3.TestScheduledDisposalReview.* (all 5)</t>
        </is>
      </c>
      <c r="K17" s="2" t="inlineStr">
        <is>
          <t>✅</t>
        </is>
      </c>
      <c r="L17" s="3" t="inlineStr">
        <is>
          <t>5 retention classes (GOV-MINUTES requires WORM). All 14 forums carry retention_class GOV-FORUM. 0 assignments, 0 archives, 0 dispositions.</t>
        </is>
      </c>
    </row>
    <row r="18" ht="134" customHeight="1">
      <c r="A18" s="2" t="inlineStr">
        <is>
          <t>G-17</t>
        </is>
      </c>
      <c r="B18" s="3" t="inlineStr">
        <is>
          <t>CGF</t>
        </is>
      </c>
      <c r="C18" s="2" t="inlineStr">
        <is>
          <t>Mandatory</t>
        </is>
      </c>
      <c r="D18" s="3" t="inlineStr">
        <is>
          <t>The system shall allow a request to create, modify or retire a forum to be submitted, with configurable content and a configurable workflow. Intake shall capture at minimum: whether the request is to create a new committee as defined by the enterprise governance standard; the rationale; the purpose and scope; the proposed responsibilities; the delegating authority; whether delegating-authority approval has been obtained (not required at submission); the proposed timeline; and the expected date of the first meeting. The Risk Governance Office shall check completeness and appropriateness before the request proceeds.</t>
        </is>
      </c>
      <c r="E18" s="3" t="inlineStr">
        <is>
          <t>/create-forum wizard (guidance, required fields, draft save, compliance-review warning) → formation.submit_request; answer to a return via respond_to_returned_request. Completeness is confirmed on /formation-request. Originators without a governance role can open, answer and withdraw their own request.</t>
        </is>
      </c>
      <c r="F18" s="3" t="inlineStr">
        <is>
          <t>/create-forum
/formation-request?name=…</t>
        </is>
      </c>
      <c r="G18" s="3" t="inlineStr">
        <is>
          <t>/app/committee-formation-request — Governance workspace</t>
        </is>
      </c>
      <c r="H18" s="3" t="inlineStr">
        <is>
          <t>consilium/governance/formation.py → submit_request()
consilium/governance/formation.py → respond_to_returned_request()
consilium/www/create_forum.py (portal page)
consilium/www/formation_request.py (portal page)
consilium/governance/doctype/committee_formation_request/committee_formation_request.py (Committee Formation Request)</t>
        </is>
      </c>
      <c r="I18" s="3" t="inlineStr">
        <is>
          <t>(a) Through a purpose-built portal screen</t>
        </is>
      </c>
      <c r="J18" s="3" t="inlineStr">
        <is>
          <t>governance.tests.test_formation.TestIntake.* (all 5)
governance.tests.test_formation_portal.TestReturnAndRespond.* (all 4)
governance.tests.test_formation_portal.TestNamedPeople.* (all 2)
governance.tests.test_w3_guides.TestTheOriginatorReadsTheirOwnRequest.* (all 3)</t>
        </is>
      </c>
      <c r="K18" s="2" t="inlineStr">
        <is>
          <t>✅</t>
        </is>
      </c>
      <c r="L18" s="3" t="inlineStr">
        <is>
          <t>CFR-2026-00006 Payments Innovation Forum (draft); CFR-2026-00003 returned with questions.</t>
        </is>
      </c>
    </row>
    <row r="19" ht="95" customHeight="1">
      <c r="A19" s="2" t="inlineStr">
        <is>
          <t>G-18</t>
        </is>
      </c>
      <c r="B19" s="3" t="inlineStr">
        <is>
          <t>CGF</t>
        </is>
      </c>
      <c r="C19" s="2" t="inlineStr">
        <is>
          <t>Mandatory</t>
        </is>
      </c>
      <c r="D19" s="3" t="inlineStr">
        <is>
          <t>The system shall define and enforce a standardized, configurable set of intake fields, validated for completeness and aligned to the platform taxonomies, covering identifying, ownership and organisational information: forum name, forum identifier, requester, forum type, jurisdiction, parent forum, child forum(s), owning organisation (operating group), owning organisation (line of business), owning organisation (business unit), and forum sponsor.</t>
        </is>
      </c>
      <c r="E19" s="3" t="inlineStr">
        <is>
          <t>Mandatory and validated fields on Committee Formation Request: name, proposed id, requester, type, jurisdiction, parent, child forums, operating group, line of business, business units, sponsor. The fields G-17 adds are also present: new-committee flag, rationale, purpose and scope, responsibilities, delegating authority and its approval, timeline, first meeting.</t>
        </is>
      </c>
      <c r="F19" s="3" t="inlineStr">
        <is>
          <t>— (no portal screen)</t>
        </is>
      </c>
      <c r="G19" s="3" t="inlineStr">
        <is>
          <t>/app/committee-formation-request — Governance workspace</t>
        </is>
      </c>
      <c r="H19" s="3" t="inlineStr">
        <is>
          <t>consilium/governance/doctype/committee_formation_request/committee_formation_request.py (Committee Formation Request)
consilium/governance/formation.py (module under the cited tests)</t>
        </is>
      </c>
      <c r="I19" s="3" t="inlineStr">
        <is>
          <t>(a) Through a purpose-built portal screen</t>
        </is>
      </c>
      <c r="J19" s="3" t="inlineStr">
        <is>
          <t>governance.tests.test_formation.TestIntake.test_required_fields_are_enforced_before_submission
governance.tests.test_formation.TestIntake.test_a_modify_request_must_name_its_subject
governance.tests.test_formation.TestIntake.test_one_intake_covers_create_modify_and_retire</t>
        </is>
      </c>
      <c r="K19" s="2" t="inlineStr">
        <is>
          <t>✅</t>
        </is>
      </c>
      <c r="L19" s="3" t="inlineStr">
        <is>
          <t>Any submitted request, for example CFR-2026-00002 Operational Resilience Steering Committee.</t>
        </is>
      </c>
    </row>
    <row r="20" ht="225" customHeight="1">
      <c r="A20" s="2" t="inlineStr">
        <is>
          <t>G-19</t>
        </is>
      </c>
      <c r="B20" s="3" t="inlineStr">
        <is>
          <t>CGF</t>
        </is>
      </c>
      <c r="C20" s="2" t="inlineStr">
        <is>
          <t>Mandatory</t>
        </is>
      </c>
      <c r="D20" s="3" t="inlineStr">
        <is>
          <t>The system shall make forum data available for consistent reuse wherever governance context is required — approving forums for governing documents, escalation pathways, risk appetite and risk identification — and shall consume governance-relevant data from elsewhere. Data exchange shall be field-mapped, validated, and subject to defined handling rules for invalid, missing or incomplete data, and shall be traceable for audit.</t>
        </is>
      </c>
      <c r="E20" s="3" t="inlineStr">
        <is>
          <t>Reuse inside the database: Governing Document.approving_forum (listed on /forum) and Escalation Forum Link (Escalations tab on /forum). /imports (CS-11) uploads, maps, validates, reviews rows, commits or discards (importing.upload_batch, revalidate_batch, exclude_row, commit_reviewed_batch, discard_batch). Gap: the outbound export file (importing.export_records) has no caller, so no forum data file can be produced for the risk appetite or risk register. No import profile targets governance data (profiles exist for Escalation Matter and Regulatory Requirement only). External Reference rows are entered on desk.</t>
        </is>
      </c>
      <c r="F20" s="3" t="inlineStr">
        <is>
          <t>/forum?name=…
/imports</t>
        </is>
      </c>
      <c r="G20" s="3" t="inlineStr">
        <is>
          <t>/app/escalation-matter → 'Escalation Forum Link' table
/app/external-reference
/app/governing-document — Policy workspace
/app/escalation-matter — Escalation workspace
/app/regulatory-requirement — Consilium Administration workspace</t>
        </is>
      </c>
      <c r="H20" s="3" t="inlineStr">
        <is>
          <t>consilium/consilium_core/importing.py → upload_batch()
consilium/consilium_core/importing.py → revalidate_batch()
consilium/consilium_core/importing.py → exclude_row()
consilium/consilium_core/importing.py → commit_reviewed_batch()
consilium/consilium_core/importing.py → discard_batch()
consilium/consilium_core/importing.py → export_records()
consilium/www/forum.py (portal page)
consilium/www/imports.py (portal page)
consilium/consilium_core/doctype/external_reference/external_reference.py (External Reference)
consilium/policy/doctype/governing_document/governing_document.py (Governing Document)
consilium/escalation/doctype/escalation_matter/escalation_matter.py (Escalation Matter)
consilium/consilium_core/doctype/regulatory_requirement/regulatory_requirement.py (Regulatory Requirement)</t>
        </is>
      </c>
      <c r="I20" s="3" t="inlineStr">
        <is>
          <t>(c) Partly: the backend exists, but a step has no screen, is desk-only where a custom screen is called for, or is reachable only from code</t>
        </is>
      </c>
      <c r="J20" s="3" t="inlineStr">
        <is>
          <t>consilium_core.tests.test_import_pipeline.TestImportPipeline.* (all 9)
consilium_core.tests.test_imports_portal.TestUpload.* (all 5)
consilium_core.tests.test_imports_portal.TestReview.* (all 7)
consilium_core.tests.test_imports_portal.TestDiscard.* (all 1)
consilium_core.tests.test_imports_portal.TestMethods.* (all 1)
escalation.tests.test_import_export.TestImportPath.* (all 4)</t>
        </is>
      </c>
      <c r="K20" s="2" t="inlineStr">
        <is>
          <t>✅</t>
        </is>
      </c>
      <c r="L20" s="3" t="inlineStr">
        <is>
          <t>EXTR-00001…00004 on FRM-2026-00005 and FRM-2026-00006. IMPB-00001 (escalation import, Validated). 0 export batches. FRM-2026-00006 approves 5 governing documents.</t>
        </is>
      </c>
    </row>
    <row r="21" ht="173" customHeight="1">
      <c r="A21" s="2" t="inlineStr">
        <is>
          <t>P-1</t>
        </is>
      </c>
      <c r="B21" s="3" t="inlineStr">
        <is>
          <t>POL</t>
        </is>
      </c>
      <c r="C21" s="2" t="inlineStr">
        <is>
          <t>Mandatory</t>
        </is>
      </c>
      <c r="D21" s="3" t="inlineStr">
        <is>
          <t>The system shall provide a centralized, searchable repository of all governing documents and their metadata, covering at minimum Frameworks, Policies, Standards, Procedures and Supporting Documents. Access, visibility and permitted actions shall be governed by role-based access control. The system shall identify confidential or restricted documents and apply enhanced handling so that view, download, print and share are limited to authorized roles.</t>
        </is>
      </c>
      <c r="E21" s="3" t="inlineStr">
        <is>
          <t>Governing Document (5 types; Directive is deliberately not modelled); /policies, /policy and /document-view. policy/handling.py is registered in hooks.py as has_permission and permission_query_conditions on Governing Document and Document Version, plus File.before_insert (guard_file_privacy). Read is narrowed for Confidential and Restricted documents. Print, download and share are refused per flag and rendition on the print view, file fetch, share and e-mail. Loosening the handling is refused to anyone but the policy office, and the refusal is logged.</t>
        </is>
      </c>
      <c r="F21" s="3" t="inlineStr">
        <is>
          <t>/policies
/policy?name=…
/document-view</t>
        </is>
      </c>
      <c r="G21" s="3" t="inlineStr">
        <is>
          <t>/app/governing-document — Policy workspace
/app/document-version — Policy workspace</t>
        </is>
      </c>
      <c r="H21" s="3" t="inlineStr">
        <is>
          <t>consilium/policy/handling.py
consilium/hooks.py
consilium/policy/handling.py → has_permission()
consilium/policy/handling.py → guard_file_privacy()
consilium/www/policies.py (portal page)
consilium/www/policy.py (portal page)
consilium/www/document_view.py (portal page)
consilium/policy/doctype/governing_document/governing_document.py (Governing Document)
consilium/consilium_core/doctype/document_version/document_version.py (Document Version)
consilium/policy/repository.py (module under the cited tests)</t>
        </is>
      </c>
      <c r="I21" s="3" t="inlineStr">
        <is>
          <t>(a) Through a purpose-built portal screen</t>
        </is>
      </c>
      <c r="J21" s="3" t="inlineStr">
        <is>
          <t>policy.tests.test_handling.TestVisibility.* (all 8)
policy.tests.test_handling.TestActions.* (all 7)
policy.tests.test_handling.TestHandlingChanges.* (all 6)
policy.tests.test_handling.TestVersionBody.* (all 4)
policy.tests.test_handling.TestVersionHooks.* (all 2)
policy.tests.test_handling.TestViewerPage.* (all 5)
policy.tests.test_repository.TestGoverningDocument.test_confidential_closes_the_three_actions_by_default</t>
        </is>
      </c>
      <c r="K21" s="2" t="inlineStr">
        <is>
          <t>✅</t>
        </is>
      </c>
      <c r="L21" s="3" t="inlineStr">
        <is>
          <t>GDOC-00010 Anti-Money Laundering Policy: Confidential, with the three flags off; PPUB-00008 Targeted Groups, view-only. GDOC-00015 Artificial Intelligence Use Standard: Restricted.</t>
        </is>
      </c>
    </row>
    <row r="22" ht="95" customHeight="1">
      <c r="A22" s="2" t="inlineStr">
        <is>
          <t>P-2</t>
        </is>
      </c>
      <c r="B22" s="3" t="inlineStr">
        <is>
          <t>POL</t>
        </is>
      </c>
      <c r="C22" s="2" t="inlineStr">
        <is>
          <t>Mandatory</t>
        </is>
      </c>
      <c r="D22" s="3" t="inlineStr">
        <is>
          <t>The system shall provide advanced search and filtering of governing documents by metadata.</t>
        </is>
      </c>
      <c r="E22" s="3" t="inlineStr">
        <is>
          <t>/policies: filters for type, phase, group, risk category, handling, owner and standing, all kept in the URL. Full-text search over title, reference, abstract, body and the current version's text goes through repository.search, which honours permissions and handling. Owner options come from repository.owners. The header's global search finds a document by reference or title from any page, through the same permission and handling rules.</t>
        </is>
      </c>
      <c r="F22" s="3" t="inlineStr">
        <is>
          <t>/policies</t>
        </is>
      </c>
      <c r="G22" s="3" t="inlineStr">
        <is>
          <t>/app/governing-document — Policy workspace</t>
        </is>
      </c>
      <c r="H22" s="3" t="inlineStr">
        <is>
          <t>consilium/policy/repository.py → search()
consilium/policy/repository.py → owners()
consilium/www/policies.py (portal page)
consilium/policy/doctype/governing_document/governing_document.py (Governing Document)</t>
        </is>
      </c>
      <c r="I22" s="3" t="inlineStr">
        <is>
          <t>(a) Through a purpose-built portal screen</t>
        </is>
      </c>
      <c r="J22" s="3" t="inlineStr">
        <is>
          <t>policy.tests.test_wave3.TestSearch.* (all 4)
policy.tests.test_repository.TestGoverningDocument.test_search_filters_and_matches_title_and_content
policy.tests.test_repository.TestGoverningDocument.test_search_respects_permissions
consilium_core.tests.test_global_search.TestGlobalSearch.* (all 9)</t>
        </is>
      </c>
      <c r="K22" s="2" t="inlineStr">
        <is>
          <t>✅</t>
        </is>
      </c>
      <c r="L22" s="3" t="inlineStr">
        <is>
          <t>/policies?standing=overdue lists GDOC-00003, GDOC-00009 and GDOC-00014, all in force and past next_review_on.</t>
        </is>
      </c>
    </row>
    <row r="23" ht="173" customHeight="1">
      <c r="A23" s="2" t="inlineStr">
        <is>
          <t>P-3</t>
        </is>
      </c>
      <c r="B23" s="3" t="inlineStr">
        <is>
          <t>POL</t>
        </is>
      </c>
      <c r="C23" s="2" t="inlineStr">
        <is>
          <t>Mandatory</t>
        </is>
      </c>
      <c r="D23" s="3" t="inlineStr">
        <is>
          <t>The system shall support metadata-driven tagging using controlled fields, field dependencies and standardized taxonomies. Metadata shall include at minimum: document identifiers (name, identifier, type); ownership and accountability roles; organisational alignment; risk classification and applicability; lifecycle status and relationships. Named attributes include document name, document identifier, key contact, document type, jurisdiction, parent document, child document(s), primary risk category, legal entity, owning organisation (operating group), owning organisation (line of business), direct document link, training-required flag, attachments, document approver, document liaison, document owner, document delegate (optional), document sponsor, line of defence, material-entity flag and lifecycle phase.</t>
        </is>
      </c>
      <c r="E23" s="3" t="inlineStr">
        <is>
          <t>Every named field and child table, including the accountability-roles table. Shown on /policy, captured on the desk (DK-1), and correctable one field at a time on /policy (metadata.correct_metadata, with a reason). Retired taxonomy values are not offered (standard_queries).</t>
        </is>
      </c>
      <c r="F23" s="3" t="inlineStr">
        <is>
          <t>/policy?name=…</t>
        </is>
      </c>
      <c r="G23" s="3" t="inlineStr">
        <is>
          <t>/app/governing-document — Policy workspace
/app/governance-forum — Governance workspace</t>
        </is>
      </c>
      <c r="H23" s="3" t="inlineStr">
        <is>
          <t>consilium/policy/metadata.py → correct_metadata()
consilium/www/policy.py (portal page)
consilium/policy/repository.py (module under the cited tests)
consilium/policy/doctype/governing_document/governing_document.py (Governing Document)
consilium/governance/doctype/governance_forum/governance_forum.py (Governance Forum)</t>
        </is>
      </c>
      <c r="I23" s="3" t="inlineStr">
        <is>
          <t>(a) Through a purpose-built portal screen</t>
        </is>
      </c>
      <c r="J23" s="3" t="inlineStr">
        <is>
          <t>policy.tests.test_repository.TestGoverningDocument.test_creates_with_required_metadata
policy.tests.test_repository.TestGoverningDocument.test_refuses_creation_without_required_metadata
policy.tests.test_repository.TestGoverningDocument.test_material_entity_flag_requires_an_entity
policy.tests.test_entities.TestAccountabilityAndReferences.* (all 3)
policy.tests.test_wave3.TestMetadataCorrection.* (all 3)</t>
        </is>
      </c>
      <c r="K23" s="2" t="inlineStr">
        <is>
          <t>✅</t>
        </is>
      </c>
      <c r="L23" s="3" t="inlineStr">
        <is>
          <t>GDOC-00005 Outsourcing and Third-Party Risk Policy: regulatory-required, parent GDOC-00003, approving forum FRM-2026-00006.</t>
        </is>
      </c>
    </row>
    <row r="24" ht="82" customHeight="1">
      <c r="A24" s="2" t="inlineStr">
        <is>
          <t>P-4</t>
        </is>
      </c>
      <c r="B24" s="3" t="inlineStr">
        <is>
          <t>POL</t>
        </is>
      </c>
      <c r="C24" s="2" t="inlineStr">
        <is>
          <t>Mandatory</t>
        </is>
      </c>
      <c r="D24" s="3" t="inlineStr">
        <is>
          <t>The system shall allow governing documents to be mapped to related governing documents — parent, child and addendum — and shall present document families in a dashboard view.</t>
        </is>
      </c>
      <c r="E24" s="3" t="inlineStr">
        <is>
          <t>Document Relationship plus parent_document, with cycles prevented. lineage.lineage_of is drawn on /policy, and a restricted child is not named to a reader who cannot see it. The "Document families" section on /reports (reporting.families) is permission-filtered and exports to CSV.</t>
        </is>
      </c>
      <c r="F24" s="3" t="inlineStr">
        <is>
          <t>/policy?name=…
/reports</t>
        </is>
      </c>
      <c r="G24" s="3" t="inlineStr">
        <is>
          <t>/app/governing-document → 'Document Relationship' table</t>
        </is>
      </c>
      <c r="H24" s="3" t="inlineStr">
        <is>
          <t>consilium/policy/lineage.py → lineage_of()
consilium/policy/reporting.py → families()
consilium/www/policy.py (portal page)
consilium/www/reports.py (portal page)
consilium/policy/repository.py (module under the cited tests)</t>
        </is>
      </c>
      <c r="I24" s="3" t="inlineStr">
        <is>
          <t>(a) Through a purpose-built portal screen</t>
        </is>
      </c>
      <c r="J24" s="3" t="inlineStr">
        <is>
          <t>policy.tests.test_repository.TestLineage.* (all 4)
policy.tests.test_wave3.TestLineageVisibility.* (all 1)
policy.tests.test_wave3.TestReporting.* (all 3)</t>
        </is>
      </c>
      <c r="K24" s="2" t="inlineStr">
        <is>
          <t>✅</t>
        </is>
      </c>
      <c r="L24" s="3" t="inlineStr">
        <is>
          <t>GDOC-00001 ERM Framework → GDOC-00002, 00003, 00006. GDOC-00003 → 00005, 00007, 00012. GDOC-00008 → 00011. GDOC-00013 (retired) → 00014.</t>
        </is>
      </c>
    </row>
    <row r="25" ht="121" customHeight="1">
      <c r="A25" s="2" t="inlineStr">
        <is>
          <t>P-5</t>
        </is>
      </c>
      <c r="B25" s="3" t="inlineStr">
        <is>
          <t>POL</t>
        </is>
      </c>
      <c r="C25" s="2" t="inlineStr">
        <is>
          <t>Mandatory</t>
        </is>
      </c>
      <c r="D25" s="3" t="inlineStr">
        <is>
          <t>The system shall allow governing documents to be linked to other risk programme objects: risk assessments; processes, risks and controls; training; a regulatory-requirement indicator; and related issues.</t>
        </is>
      </c>
      <c r="E25" s="3" t="inlineStr">
        <is>
          <t>In the database: approving_forum, shown on /policy and resolved from /forum; the regulatory-required indicator and references; the training-required flag; the violation → escalation link. The Impact panel on /policy (ai/impact.py) walks the forums, regulation, monitoring and violations. Gap: foreign risks, controls, processes and training items are External Reference rows (or Implementation Plan impacted processes and controls) entered on the desk only. /policy does not show them, and no import profile brings them in for documents.</t>
        </is>
      </c>
      <c r="F25" s="3" t="inlineStr">
        <is>
          <t>/policy?name=…
/forum?name=…</t>
        </is>
      </c>
      <c r="G25" s="3" t="inlineStr">
        <is>
          <t>/app/external-reference
/app/implementation-plan — Policy workspace</t>
        </is>
      </c>
      <c r="H25" s="3" t="inlineStr">
        <is>
          <t>consilium/consilium_core/ai/impact.py
consilium/www/policy.py (portal page)
consilium/www/forum.py (portal page)
consilium/consilium_core/doctype/external_reference/external_reference.py (External Reference)
consilium/policy/doctype/implementation_plan/implementation_plan.py (Implementation Plan)</t>
        </is>
      </c>
      <c r="I25" s="3" t="inlineStr">
        <is>
          <t>(c) Partly: the backend exists, but a step has no screen, is desk-only where a custom screen is called for, or is reachable only from code</t>
        </is>
      </c>
      <c r="J25" s="3" t="inlineStr">
        <is>
          <t>consilium_core.tests.test_ai_features.TestImpact.test_the_rule_based_impact_reaches_lineage_regulation_forums_monitoring_and_violations
policy.tests.test_entities.TestImplementationPlan.test_working_groups_and_references_are_multi_valued</t>
        </is>
      </c>
      <c r="K25" s="2" t="inlineStr">
        <is>
          <t>✅ (in-database links; nothing tests external references on a document's page)</t>
        </is>
      </c>
      <c r="L25" s="3" t="inlineStr">
        <is>
          <t>GDOC-00003 approved by FRM-2026-00006. The 6 External Reference rows on the site are all on forums and escalations; none is on a governing document.</t>
        </is>
      </c>
    </row>
    <row r="26" ht="147" customHeight="1">
      <c r="A26" s="2" t="inlineStr">
        <is>
          <t>P-6</t>
        </is>
      </c>
      <c r="B26" s="3" t="inlineStr">
        <is>
          <t>POL</t>
        </is>
      </c>
      <c r="C26" s="2" t="inlineStr">
        <is>
          <t>Mandatory</t>
        </is>
      </c>
      <c r="D26" s="3" t="inlineStr">
        <is>
          <t>The system shall allow a governing document to be designated regulatory-required, and when so designated shall require capture of the relevant regulatory detail through dependent fields. It shall maintain linkage from documents to the applicable laws, rules, regulations or standards, keep references and effective dates current, and notify impacted document owners when a tracked regulatory change occurs.</t>
        </is>
      </c>
      <c r="E26" s="3" t="inlineStr">
        <is>
          <t>The flag plus Document Regulatory Reference, shown on /policy. A regulatory-change file is imported on /imports through the seeded profile IMPP-00001 (policy/regulatory_import.py, whose prepare_changes makes a blank cell mean "unchanged"). A change can also be recorded on /regulatory-updates. Either way the Regulatory Requirement controller (notify_citing_owners) tells the owners of citing documents and forums through the templated event regulatory.requirement.changed.</t>
        </is>
      </c>
      <c r="F26" s="3" t="inlineStr">
        <is>
          <t>/policy?name=…
/imports
/regulatory-updates</t>
        </is>
      </c>
      <c r="G26" s="3" t="inlineStr">
        <is>
          <t>/app/governing-document → 'Document Regulatory Reference' table
/app/regulatory-requirement — Consilium Administration workspace</t>
        </is>
      </c>
      <c r="H26" s="3" t="inlineStr">
        <is>
          <t>consilium/policy/regulatory_import.py
consilium/policy/regulatory_import.py → prepare_changes()
consilium/consilium_core/doctype/regulatory_requirement/regulatory_requirement.py → notify_citing_owners()
consilium/www/policy.py (portal page)
consilium/www/imports.py (portal page)
consilium/www/regulatory_updates.py (portal page)
consilium/consilium_core/doctype/regulatory_requirement/regulatory_requirement.py (Regulatory Requirement)
consilium/policy/repository.py (module under the cited tests)</t>
        </is>
      </c>
      <c r="I26" s="3" t="inlineStr">
        <is>
          <t>(a) Through a purpose-built portal screen</t>
        </is>
      </c>
      <c r="J26" s="3" t="inlineStr">
        <is>
          <t>consilium_core.tests.test_regulatory_change.TestRegulatoryChangeFanOut.* (all 6)
policy.tests.test_wave3.TestRegulatoryChangeImport.* (all 2)
consilium_core.tests.test_ai_features.TestRegulatory.* (all 8)
policy.tests.test_repository.TestGoverningDocument.test_regulatory_flag_requires_a_reference</t>
        </is>
      </c>
      <c r="K26" s="2" t="inlineStr">
        <is>
          <t>✅</t>
        </is>
      </c>
      <c r="L26" s="3" t="inlineStr">
        <is>
          <t>12 requirements. The dispatch "Regulatory change: Operational Resilience Guideline…" went by e-mail to the owner of GDOC-00007. IMPP-00001 is seeded, but no regulatory batch has been run on the demo.</t>
        </is>
      </c>
    </row>
    <row r="27" ht="199" customHeight="1">
      <c r="A27" s="2" t="inlineStr">
        <is>
          <t>P-7</t>
        </is>
      </c>
      <c r="B27" s="3" t="inlineStr">
        <is>
          <t>POL</t>
        </is>
      </c>
      <c r="C27" s="2" t="inlineStr">
        <is>
          <t>Mandatory</t>
        </is>
      </c>
      <c r="D27" s="3" t="inlineStr">
        <is>
          <t>The system shall support administratively configurable automated workflows for every stage of the document lifecycle, varying by document type and type of change, with conditional routing, tracking and reporting of service levels for all lifecycle steps, and alerts for approaching or breached thresholds. Configuration shall require no custom development.</t>
        </is>
      </c>
      <c r="E27" s="3" t="inlineStr">
        <is>
          <t>The framework Workflow Governing Document Lifecycle and Document Lifecycle Gate rows are configured on the desk (DK-4). Conditional routing by type, change and risk comes from Approval Route. A new workflow state needs no schema change (derive_phase_from_state and the Workflow State Flag phase column, opt-in per site). Status-driven SLA clocks per lifecycle step (sla.on_subject_update) and the daily and hourly sla.sweep send the warning (warning_threshold_pct) and the breach through templates. Actions are taken on /policy. Note: step SLAs are seeded for Review and Approved only; other phases need an SLA Definition row.</t>
        </is>
      </c>
      <c r="F27" s="3" t="inlineStr">
        <is>
          <t>/policy?name=…</t>
        </is>
      </c>
      <c r="G27" s="3" t="inlineStr">
        <is>
          <t>/app/document-lifecycle-gate — Policy workspace
/app/approval-route — Policy workspace
/app/governing-document — Policy workspace
/app/workflow-state-flag — Consilium Administration workspace
/app/sla-definition — Consilium Administration workspace
/app/workflow/Governing Document Lifecycle (framework Workflow)</t>
        </is>
      </c>
      <c r="H27" s="3" t="inlineStr">
        <is>
          <t>consilium/policy/lifecycle.py → derive_phase_from_state()
consilium/consilium_core/sla.py → on_subject_update()
consilium/consilium_core/sla.py → sweep()
consilium/www/policy.py (portal page)
consilium/policy/doctype/document_lifecycle_gate/document_lifecycle_gate.py (Document Lifecycle Gate)
consilium/policy/doctype/approval_route/approval_route.py (Approval Route)
consilium/policy/doctype/governing_document/governing_document.py (Governing Document)
consilium/consilium_core/doctype/workflow_state_flag/workflow_state_flag.py (Workflow State Flag)
consilium/consilium_core/doctype/sla_definition/sla_definition.py (SLA Definition)
consilium/policy/intake.py (module under the cited tests)</t>
        </is>
      </c>
      <c r="I27" s="3" t="inlineStr">
        <is>
          <t>(a) Through a purpose-built portal screen</t>
        </is>
      </c>
      <c r="J27" s="3" t="inlineStr">
        <is>
          <t>policy.tests.test_lifecycle.TestLifecycleConfiguration.* (all 5)
policy.tests.test_lifecycle.TestApprovalRouting.* (all 7)
policy.tests.test_w3_state_phase.TestDerivedPhase.* (all 7)
consilium_core.tests.test_sla_measures.TestGoverningDocumentSteps.* (all 1)
consilium_core.tests.test_sla_measures.TestWarningsAndBreaches.* (all 7)
policy.tests.test_intake.TestClassificationDrivesRoutingAndService.* (all 5)</t>
        </is>
      </c>
      <c r="K27" s="2" t="inlineStr">
        <is>
          <t>✅</t>
        </is>
      </c>
      <c r="L27" s="3" t="inlineStr">
        <is>
          <t>POL-STEP-REVIEW is running on GDOC-00005, 00011 and 00015; POL-STEP-APPROVED on GDOC-00006. The intake clocks POL-INTAKE-MAJOR and MINOR are Met on PINT-00001…03 and Running on PINT-00004 and 00008.</t>
        </is>
      </c>
    </row>
    <row r="28" ht="225" customHeight="1">
      <c r="A28" s="2" t="inlineStr">
        <is>
          <t>P-8</t>
        </is>
      </c>
      <c r="B28" s="3" t="inlineStr">
        <is>
          <t>POL</t>
        </is>
      </c>
      <c r="C28" s="2" t="inlineStr">
        <is>
          <t>Mandatory</t>
        </is>
      </c>
      <c r="D28" s="3" t="inlineStr">
        <is>
          <t>The system shall support a multi-step approval process across stakeholders and roles, sequential or parallel, including: approval by parent-document owners of changes to child documents where required; automated routing, reminders and escalations; real-time approval tracking with timestamps, comments and sign-offs; forms and workflows for exception requests and exemptions; routing of approvals and notifications to user groups; role-based assignment of approval steps; conditional approval paths by document type, change type or risk level; a full audit trail of approval actions; routing of annual attestation notices and deadline reminders; and horizon-scanning notifications — notifying owners when scans are due, tracking completion of manual scans, and triggering downstream workflow after a scan.</t>
        </is>
      </c>
      <c r="E28" s="3" t="inlineStr">
        <is>
          <t>These parts are built: route resolution with a parent-owner step (routing.resolved_steps); steps raised, decided (assignee or live delegate) and bypassed only under an exception authorisation, all from /policy; sequential order enforced; steps in /tasks. Gate exceptions are requested by the owner and approved by the policy office. Exemptions are on the desk, with a daily lapse. Document attestation campaigns are opened from /policy (attestation.open_campaign), with reminders on the campaign schedule and answers in /tasks. Horizon scans are recorded from /policy, chased by daily horizon.remind_due, and a triggering scan opens a review cycle. Missing: (1) reminders and escalation for an approval step left pending. No job reads open Approval Decision rows. The lifecycle-phase SLA warns only the document owner, because sla.RESPONSIBLE_FIELDS names no approver. (2) Routing approvals to user groups. A step resolves to one user from a document field or a named user. required_role is stored but is not used as a queue for policy steps, unlike formation.</t>
        </is>
      </c>
      <c r="F28" s="3" t="inlineStr">
        <is>
          <t>/policy?name=…
/tasks</t>
        </is>
      </c>
      <c r="G28" s="3" t="inlineStr">
        <is>
          <t>/app/approval-decision — Consilium Administration workspace</t>
        </is>
      </c>
      <c r="H28" s="3" t="inlineStr">
        <is>
          <t>consilium/policy/routing.py → resolved_steps()
consilium/policy/attestation.py → open_campaign()
consilium/policy/horizon.py → remind_due()
consilium/consilium_core/sla.py
consilium/www/policy.py (portal page)
consilium/www/tasks.py (portal page)
consilium/consilium_core/doctype/approval_decision/approval_decision.py (Approval Decision)
consilium/policy/lifecycle.py (module under the cited tests)</t>
        </is>
      </c>
      <c r="I28" s="3" t="inlineStr">
        <is>
          <t>(d) Not implemented, wholly or in a mandatory clause</t>
        </is>
      </c>
      <c r="J28" s="3" t="inlineStr">
        <is>
          <t>policy.tests.test_portal_actions.TestApprovalChain.* (all 15)
policy.tests.test_lifecycle.TestApprovalRouting.* (all 7)
policy.tests.test_lifecycle.TestParentOwnerApproval.* (all 3)
consilium_core.tests.test_core_controls_wave3.TestSequentialApprovals.* (all 6)
policy.tests.test_wave3.TestGateExceptions.* (all 4)
policy.tests.test_wave3.TestAttestationCampaign.* (all 2)
policy.tests.test_horizon.TestScanCadence.* (all 8)
policy.tests.test_horizon.TestScanTriggersReview.* (all 5)
policy.tests.test_entities.TestExemptionLifecycle.* (all 5)
consilium_core.tests.test_w3_guides_core.TestCampaignReminderSchedule.* (all 4)</t>
        </is>
      </c>
      <c r="K28" s="2" t="inlineStr">
        <is>
          <t>✅ (what exists; nothing tests approval reminders because there are none)</t>
        </is>
      </c>
      <c r="L28" s="3" t="inlineStr">
        <is>
          <t>GDOC-00005 in Review: 1 step approved, 1 pending. GDOC-00006 Model Risk Management Policy: 3 approved decisions. ACAM-00004: 5 attested, 4 pending. PHSC-00002 → PRVC-00001, review triggered. PEXM-00001 authorised exemption.</t>
        </is>
      </c>
    </row>
    <row r="29" ht="134" customHeight="1">
      <c r="A29" s="2" t="inlineStr">
        <is>
          <t>P-9</t>
        </is>
      </c>
      <c r="B29" s="3" t="inlineStr">
        <is>
          <t>POL</t>
        </is>
      </c>
      <c r="C29" s="2" t="inlineStr">
        <is>
          <t>Mandatory</t>
        </is>
      </c>
      <c r="D29" s="3" t="inlineStr">
        <is>
          <t>The system shall track every change to a governing document, maintain a complete history, and log every user action with timestamp and attributed actor. Prior versions shall be archived and remain accessible. The system shall additionally allow an authorised user to revert a document to a previous version.</t>
        </is>
      </c>
      <c r="E29" s="3" t="inlineStr">
        <is>
          <t>Native Version log (track_changes), shown as the change log on /policy. Body version chain in Document Version. Upload goes through publication.upload_new_version (text or a file attached privately) and revert through publication.revert_version (required reason, forward-only). Both are on /policy, and a revert keeps the lifecycle phase. Prior versions open in /document-view.</t>
        </is>
      </c>
      <c r="F29" s="3" t="inlineStr">
        <is>
          <t>/policy?name=…
/document-view</t>
        </is>
      </c>
      <c r="G29" s="3" t="inlineStr">
        <is>
          <t>/app/document-version — Policy workspace</t>
        </is>
      </c>
      <c r="H29" s="3" t="inlineStr">
        <is>
          <t>consilium/policy/publication.py → upload_new_version()
consilium/policy/publication.py → revert_version()
consilium/www/policy.py (portal page)
consilium/www/document_view.py (portal page)
consilium/consilium_core/doctype/document_version/document_version.py (Document Version)
consilium/policy/lifecycle.py (module under the cited tests)
consilium/consilium_core/versioning.py (module under the cited tests)</t>
        </is>
      </c>
      <c r="I29" s="3" t="inlineStr">
        <is>
          <t>(a) Through a purpose-built portal screen</t>
        </is>
      </c>
      <c r="J29" s="3" t="inlineStr">
        <is>
          <t>policy.tests.test_portal_actions.TestVersions.* (all 9)
policy.tests.test_wave3_policy.TestRevertLeavesTheLifecycleAlone.* (all 1)
policy.tests.test_lifecycle.TestVersioningAndPublication.test_revert_writes_a_new_version_and_never_rewrites_one
consilium_core.tests.test_versioning.TestVersioning.* (all 9)</t>
        </is>
      </c>
      <c r="K29" s="2" t="inlineStr">
        <is>
          <t>✅</t>
        </is>
      </c>
      <c r="L29" s="3" t="inlineStr">
        <is>
          <t>157 document versions; GDOC-00001, 00004, 00005 and 00015 have 2 versions each. No document revert has been done on the demo; the one Version Revert Log row is on forum FRM-2026-00010.</t>
        </is>
      </c>
    </row>
    <row r="30" ht="121" customHeight="1">
      <c r="A30" s="2" t="inlineStr">
        <is>
          <t>P-10</t>
        </is>
      </c>
      <c r="B30" s="3" t="inlineStr">
        <is>
          <t>POL</t>
        </is>
      </c>
      <c r="C30" s="2" t="inlineStr">
        <is>
          <t>Mandatory</t>
        </is>
      </c>
      <c r="D30" s="3" t="inlineStr">
        <is>
          <t>The system shall support periodic reviews through scheduling, notification when a review is due to begin and when due, service-level tracking of overdue reviews, and documentation of review outcomes.</t>
        </is>
      </c>
      <c r="E30" s="3" t="inlineStr">
        <is>
          <t>Review cycles are opened and concluded with an outcome on /policy (horizon.open_review and conclude_review). The daily reminders.daily sends policy.review_cycle.starting, …due_soon, …overdue and …escalated, and policy.review.due_soon, …overdue and …escalated for documents with no cycle open. Reminder Log de-duplicates. SLA POL-REVIEW-CYCLE times a cycle that is underway. "Policy reviews due" appears in /tasks.</t>
        </is>
      </c>
      <c r="F30" s="3" t="inlineStr">
        <is>
          <t>/policy?name=…
/tasks</t>
        </is>
      </c>
      <c r="G30" s="3" t="inlineStr">
        <is>
          <t>/app/reminder-log — Consilium Administration workspace</t>
        </is>
      </c>
      <c r="H30" s="3" t="inlineStr">
        <is>
          <t>consilium/policy/horizon.py → open_review()
consilium/policy/horizon.py → conclude_review()
consilium/consilium_core/reminders.py → daily()
consilium/www/policy.py (portal page)
consilium/www/tasks.py (portal page)
consilium/consilium_core/doctype/reminder_log/reminder_log.py (Reminder Log)
consilium/policy/repository.py (module under the cited tests)</t>
        </is>
      </c>
      <c r="I30" s="3" t="inlineStr">
        <is>
          <t>(a) Through a purpose-built portal screen</t>
        </is>
      </c>
      <c r="J30" s="3" t="inlineStr">
        <is>
          <t>consilium_core.tests.test_reminders.TestDocumentReviewReminders.* (all 9)
policy.tests.test_portal_actions.TestReviewsAndScans.* (all 7)
policy.tests.test_entities.TestReviewCycle.* (all 4)
policy.tests.test_repository.TestGoverningDocument.test_review_date_derives_from_cadence</t>
        </is>
      </c>
      <c r="K30" s="2" t="inlineStr">
        <is>
          <t>✅</t>
        </is>
      </c>
      <c r="L30" s="3" t="inlineStr">
        <is>
          <t>GDOC-00003 overdue: RMDL-00001 overdue, RMDL-00002 escalated. PRVC-00005 overdue and escalated (RMDL-00003 and 00004), and its SLA clock Breached. PRVC-00004 concluded "Minor Update".</t>
        </is>
      </c>
    </row>
    <row r="31" ht="82" customHeight="1">
      <c r="A31" s="2" t="inlineStr">
        <is>
          <t>P-11</t>
        </is>
      </c>
      <c r="B31" s="3" t="inlineStr">
        <is>
          <t>POL</t>
        </is>
      </c>
      <c r="C31" s="2" t="inlineStr">
        <is>
          <t>Mandatory</t>
        </is>
      </c>
      <c r="D31" s="3" t="inlineStr">
        <is>
          <t>The system shall allow monitoring activities to be defined, scheduled, tracked and reported per governing document; send notifications when they fall due; log their results; present a dashboard of monitoring outcomes for the enterprise policy office; and maintain auditable records.</t>
        </is>
      </c>
      <c r="E31" s="3" t="inlineStr">
        <is>
          <t>Monitoring Activity is defined on the desk. Results are recorded on /policy (monitoring.record_result, which moves next_due_on forward). The daily reminders.remind_monitoring sends due soon, overdue and escalated to the document owner. The "Monitoring outcomes" section on /reports exports to CSV.</t>
        </is>
      </c>
      <c r="F31" s="3" t="inlineStr">
        <is>
          <t>/policy?name=…
/reports</t>
        </is>
      </c>
      <c r="G31" s="3" t="inlineStr">
        <is>
          <t>/app/monitoring-activity — Policy workspace</t>
        </is>
      </c>
      <c r="H31" s="3" t="inlineStr">
        <is>
          <t>consilium/policy/monitoring.py → record_result()
consilium/consilium_core/reminders.py → remind_monitoring()
consilium/www/policy.py (portal page)
consilium/www/reports.py (portal page)
consilium/policy/doctype/monitoring_activity/monitoring_activity.py (Monitoring Activity)</t>
        </is>
      </c>
      <c r="I31" s="3" t="inlineStr">
        <is>
          <t>(a) Through a purpose-built portal screen</t>
        </is>
      </c>
      <c r="J31" s="3" t="inlineStr">
        <is>
          <t>policy.tests.test_monitoring.TestMonitoring.* (all 4)
policy.tests.test_portal_actions.TestMonitoring.* (all 8)
consilium_core.tests.test_reminders.TestMonitoringReminders.* (all 2)
policy.tests.test_wave3.TestReporting.* (all 3)</t>
        </is>
      </c>
      <c r="K31" s="2" t="inlineStr">
        <is>
          <t>✅</t>
        </is>
      </c>
      <c r="L31" s="3" t="inlineStr">
        <is>
          <t>PMON-00001 due 2026-08-15 is overdue and was chased (RMDL-00006, escalated RMDL-00007). PMON-00003 was chased too (RMDL-00008 and 00009). 10 results; PMRS-00003 Not Effective → PVIO-00002.</t>
        </is>
      </c>
    </row>
    <row r="32" ht="134" customHeight="1">
      <c r="A32" s="2" t="inlineStr">
        <is>
          <t>P-12</t>
        </is>
      </c>
      <c r="B32" s="3" t="inlineStr">
        <is>
          <t>POL</t>
        </is>
      </c>
      <c r="C32" s="2" t="inlineStr">
        <is>
          <t>Mandatory</t>
        </is>
      </c>
      <c r="D32" s="3" t="inlineStr">
        <is>
          <t>The system shall provide reporting and dashboards for oversight of policy governance enterprise-wide, showing status, lifecycle progression, compliance, coverage and performance. Reporting shall support filtering, aggregation and drill-down by document type, lifecycle status, ownership, risk category, legal entity, applicability, review status and service-level performance. Dashboards shall present current and historical views including document families, parent-child relationships, upcoming and overdue reviews, monitoring outcomes, exceptions and violations, with export for management, audit and regulatory needs.</t>
        </is>
      </c>
      <c r="E32" s="3" t="inlineStr">
        <is>
          <t>The /reports documents section counts by phase, type, group and handling. Upcoming, overdue and no-review counts drill into /policies?standing=…. Missing metadata is listed. Families, monitoring outcomes, open violations by severity, exceptions, and review and retirement dispositions come from reporting.policy_sections, all over what the viewer may read, each with CSV export. SLA clocks are counted by DocType. Gap: drill-down by legal entity and applicability exists only through the desk report builder (DK-5, named in the trace), not on /policies.</t>
        </is>
      </c>
      <c r="F32" s="3" t="inlineStr">
        <is>
          <t>/reports
/policies?standing=…
/policies</t>
        </is>
      </c>
      <c r="G32" s="3" t="inlineStr">
        <is>
          <t>/app/governing-document/view/report (framework report builder)</t>
        </is>
      </c>
      <c r="H32" s="3" t="inlineStr">
        <is>
          <t>consilium/policy/reporting.py → policy_sections()
consilium/www/reports.py (portal page)
consilium/www/policies.py (portal page)</t>
        </is>
      </c>
      <c r="I32" s="3" t="inlineStr">
        <is>
          <t>(a) Through a purpose-built portal screen</t>
        </is>
      </c>
      <c r="J32" s="3" t="inlineStr">
        <is>
          <t>policy.tests.test_wave3.TestReporting.* (all 3)
consilium_core.tests.test_portal_pages.TestEveryPageIsCovered.* (all 1)</t>
        </is>
      </c>
      <c r="K32" s="2" t="inlineStr">
        <is>
          <t>✅ (sections and export; the browser-side counts are covered only by the page-render tests)</t>
        </is>
      </c>
      <c r="L32" s="3" t="inlineStr">
        <is>
          <t>15 documents across Draft, Review, Approved, Published, Implemented and Retired; 5 violations; 13 dispositions (PDSP-00001…13).</t>
        </is>
      </c>
    </row>
    <row r="33" ht="173" customHeight="1">
      <c r="A33" s="2" t="inlineStr">
        <is>
          <t>P-13</t>
        </is>
      </c>
      <c r="B33" s="3" t="inlineStr">
        <is>
          <t>POL</t>
        </is>
      </c>
      <c r="C33" s="2" t="inlineStr">
        <is>
          <t>Mandatory</t>
        </is>
      </c>
      <c r="D33" s="3" t="inlineStr">
        <is>
          <t>The system shall restrict access to documents, data and actions by defined role, responsibility and delegated authority, enforcing segregation of duties over creation, editing, review, approval, monitoring, reporting, upload and publication. Roles shall be configurable and shall include Policy Owner, Reviewer, Approver, Viewer, Administrator and organisational groupings. Delegation shall be supported with accountability and auditability. Enhanced controls shall apply to confidential and restricted documents, limiting view, download, print and share to authorized users. All access assignments, changes and actions shall be logged.</t>
        </is>
      </c>
      <c r="E33" s="3" t="inlineStr">
        <is>
          <t>Roles are enforced server-side (DK-2). lifecycle.authorise applies segregation of duties per action: no one bypasses their own step or approves their own gate exception. Authority Delegation is kept, with a daily refresh. Restricted-document gating is in policy/handling.py (see P-1). Refused loosening is logged, and change tracking is on.</t>
        </is>
      </c>
      <c r="F33" s="3" t="inlineStr">
        <is>
          <t>— (no portal screen)</t>
        </is>
      </c>
      <c r="G33" s="3" t="inlineStr">
        <is>
          <t>/app/authority-delegation — Consilium Administration workspace</t>
        </is>
      </c>
      <c r="H33" s="3" t="inlineStr">
        <is>
          <t>consilium/policy/lifecycle.py → authorise()
consilium/policy/handling.py
consilium/consilium_core/doctype/authority_delegation/authority_delegation.py (Authority Delegation)
consilium/policy/repository.py (module under the cited tests)
consilium/consilium_core/delegation.py (module under the cited tests)</t>
        </is>
      </c>
      <c r="I33" s="3" t="inlineStr">
        <is>
          <t>(a) Through a purpose-built portal screen</t>
        </is>
      </c>
      <c r="J33" s="3" t="inlineStr">
        <is>
          <t>policy.tests.test_repository.TestGoverningDocument.test_a_reviewer_cannot_create_a_document
policy.tests.test_repository.TestGoverningDocument.test_a_policy_owner_cannot_delete_a_document
policy.tests.test_repository.TestGoverningDocument.test_the_policy_office_may_delete_a_document
policy.tests.test_repository.TestGoverningDocument.test_an_auditor_may_read_but_not_write
policy.tests.test_handling.TestVisibility.* (all 8)
policy.tests.test_handling.TestHandlingChanges.* (all 6)
consilium_core.tests.test_delegation.TestDelegation.* (all 13)
policy.tests.test_wave3.TestGateExceptions.test_nobody_approves_their_own_request</t>
        </is>
      </c>
      <c r="K33" s="2" t="inlineStr">
        <is>
          <t>✅</t>
        </is>
      </c>
      <c r="L33" s="3" t="inlineStr">
        <is>
          <t>GDOC-00015 Restricted; GDOC-00010 Confidential; 4 delegations (ADEL-00001…04).</t>
        </is>
      </c>
    </row>
    <row r="34" ht="186" customHeight="1">
      <c r="A34" s="2" t="inlineStr">
        <is>
          <t>P-14</t>
        </is>
      </c>
      <c r="B34" s="3" t="inlineStr">
        <is>
          <t>POL</t>
        </is>
      </c>
      <c r="C34" s="2" t="inlineStr">
        <is>
          <t>Mandatory</t>
        </is>
      </c>
      <c r="D34" s="3" t="inlineStr">
        <is>
          <t>The system shall send configurable, templated, automated notifications across every lifecycle stage — drafting comments and revisions, review, approval, publication, and maintenance activities including monitoring, annual assessments and periodic reviews — with templates carrying dynamic fields, multiple delivery channels (email, in-application) and conditional triggers on events, deadlines and service-level breaches.</t>
        </is>
      </c>
      <c r="E34" s="3" t="inlineStr">
        <is>
          <t>Notification Template (49 events, editable per channel on the desk, rendered in a Jinja sandbox) goes through notification.notify. There are e-mail (SMTP through the framework mail queue, or Microsoft Graph; hourly retry), in-app and record channels. Policy events: review and review-cycle due, starting, overdue and escalated; monitoring due, overdue and escalated; audience on publish, change and retire; review disposition (return with comments, accept); gate exception approved; attestation opened; horizon scan due; SLA warning and breach; regulatory change; approval step requested, decided and bypassed (policy.approval.requested, policy.approval.decided, policy.approval.bypassed, raised by policy/routing.py and seeded on migrate). Templates and channels are configured on the desk (DK-7) and events are raised by hooks and jobs (BG), as the trace names. The approver is also shown the step in /tasks.</t>
        </is>
      </c>
      <c r="F34" s="3" t="inlineStr">
        <is>
          <t>/tasks</t>
        </is>
      </c>
      <c r="G34" s="3" t="inlineStr">
        <is>
          <t>/app/notification-template — Consilium Administration workspace</t>
        </is>
      </c>
      <c r="H34" s="3" t="inlineStr">
        <is>
          <t>consilium/consilium_core/notification.py → notify()
consilium/policy/routing.py
consilium/escalation/routing.py
consilium/www/tasks.py (portal page)
consilium/consilium_core/doctype/notification_template/notification_template.py (Notification Template)
consilium/consilium_core/setup/notification_templates.py (module under the cited tests)
consilium/consilium_core/reminders.py (module under the cited tests)
consilium/consilium_core/integrations/graph_mail.py (module under the cited tests)</t>
        </is>
      </c>
      <c r="I34" s="3" t="inlineStr">
        <is>
          <t>(b) Through the desk, configuration or a scheduled job — by design</t>
        </is>
      </c>
      <c r="J34" s="3" t="inlineStr">
        <is>
          <t>consilium_core.tests.test_notification_templates.TestEventApi.* (all 10)
consilium_core.tests.test_notification_templates.TestSeeding.* (all 2)
policy.tests.test_wave3_policy.TestAudienceNotice.* (all 1)
policy.tests.test_wave3.TestChangeAndRetirement.* (all 6)
policy.tests.test_wave3.TestReviewerReturn.test_a_reviewer_returns_with_comments_and_the_owner_is_told
consilium_core.tests.test_reminders.TestDocumentReviewReminders.* (all 9)
policy.tests.test_portal_actions.TestApprovalChain.* (all 15)
consilium_core.tests.test_graph_mail.TestTheDispatchRecord.* (all 7)</t>
        </is>
      </c>
      <c r="K34" s="2" t="inlineStr">
        <is>
          <t>✅</t>
        </is>
      </c>
      <c r="L34" s="3" t="inlineStr">
        <is>
          <t>79 e-mail dispatches on Governing Document subjects, for example "Review Accepted: …", "Retired: Vendor Management Standard (GDOC-00013)", "Escalated: review of Operational Risk Ma…".</t>
        </is>
      </c>
    </row>
    <row r="35" ht="134" customHeight="1">
      <c r="A35" s="2" t="inlineStr">
        <is>
          <t>P-15</t>
        </is>
      </c>
      <c r="B35" s="3" t="inlineStr">
        <is>
          <t>POL</t>
        </is>
      </c>
      <c r="C35" s="2" t="inlineStr">
        <is>
          <t>Mandatory</t>
        </is>
      </c>
      <c r="D35" s="3" t="inlineStr">
        <is>
          <t>The system shall allow templates to be created and configured per document type and per action (new, edit, retire, review), aligned to the corporate format including a cover page carrying required metadata, predefined sections and formatting. New document types and templates shall be creatable without custom development. Templates shall enforce standardized naming conventions and required fields, and shall carry hyperlinks to related documents and regulatory references. Collaboration for real-time feedback, revision, redlining and version comparison during drafting and review is provided by the external document editor.</t>
        </is>
      </c>
      <c r="E35" s="3" t="inlineStr">
        <is>
          <t>Document Template with sections, template file, required_fields (feeding the "Required Metadata Complete" gate) and the naming pattern, per type and action, on the desk (DK-1). policy/naming.py checks the name against the active New template's pattern on every save (desk, REST, portal) and at intake classification. The message gives the expected form. The template file and sections are not offered on the portal.</t>
        </is>
      </c>
      <c r="F35" s="3" t="inlineStr">
        <is>
          <t>— (no portal screen)</t>
        </is>
      </c>
      <c r="G35" s="3" t="inlineStr">
        <is>
          <t>/app/document-template — Policy workspace</t>
        </is>
      </c>
      <c r="H35" s="3" t="inlineStr">
        <is>
          <t>consilium/escalation/templates.py → required_fields()
consilium/policy/naming.py
consilium/policy/doctype/document_template/document_template.py (Document Template)</t>
        </is>
      </c>
      <c r="I35" s="3" t="inlineStr">
        <is>
          <t>(b) Through the desk, configuration or a scheduled job — by design</t>
        </is>
      </c>
      <c r="J35" s="3" t="inlineStr">
        <is>
          <t>policy.tests.test_naming_glossary.TestNamingPattern.* (all 1)
policy.tests.test_naming_glossary.TestNamingEnforcement.* (all 7)
policy.tests.test_entities.TestDocumentTemplate.* (all 4)</t>
        </is>
      </c>
      <c r="K35" s="2" t="inlineStr">
        <is>
          <t>✅</t>
        </is>
      </c>
      <c r="L35" s="3" t="inlineStr">
        <is>
          <t>5 templates, for example "Policy — new issue" with pattern &lt;Subject&gt; Policy.</t>
        </is>
      </c>
    </row>
    <row r="36" ht="160" customHeight="1">
      <c r="A36" s="2" t="inlineStr">
        <is>
          <t>P-16</t>
        </is>
      </c>
      <c r="B36" s="3" t="inlineStr">
        <is>
          <t>POL</t>
        </is>
      </c>
      <c r="C36" s="2" t="inlineStr">
        <is>
          <t>Mandatory</t>
        </is>
      </c>
      <c r="D36" s="3" t="inlineStr">
        <is>
          <t>The system shall provide a configurable intake form for requests to create, change or retire a governing document. For a change to an existing document the system shall present a dynamic set of questions whose answers determine whether the change is major or minor, and that classification shall drive approval requirements, review steps, service levels and escalation paths. The system shall enforce required fields and naming conventions, and shall retain version history and the rationale for each classification, with a full audit trail of intake submissions, classification logic applied and workflow actions taken.</t>
        </is>
      </c>
      <c r="E36" s="3" t="inlineStr">
        <is>
          <t>The /policy-intake screen raises the request, answers the rule set's questions (dependent questions shown), classifies (intake.classify_request) and shows the rule that fired with its trace. The requester challenges; the policy office overrides with a justification (original kept) and creates the document. Withdrawal is recorded with a reason. The Core rules engine is versioned and sealed. Classification selects the route and starts the SLA clock. Naming is checked at intake.</t>
        </is>
      </c>
      <c r="F36" s="3" t="inlineStr">
        <is>
          <t>/policy-intake?name=…</t>
        </is>
      </c>
      <c r="G36" s="3" t="inlineStr">
        <is>
          <t>/app/document-intake-request — Policy workspace
/app/classification-assessment
/app/governing-document — Policy workspace
/app/classification-rule-set — Consilium Administration workspace</t>
        </is>
      </c>
      <c r="H36" s="3" t="inlineStr">
        <is>
          <t>consilium/policy/intake.py → classify_request()
consilium/www/policy_intake.py (portal page)
consilium/consilium_core/classification.py (module under the cited tests)
consilium/policy/doctype/document_intake_request/document_intake_request.py (Document Intake Request)
consilium/consilium_core/doctype/classification_assessment/classification_assessment.py (Classification Assessment)
consilium/policy/doctype/governing_document/governing_document.py (Governing Document)
consilium/consilium_core/doctype/classification_rule_set/classification_rule_set.py (Classification Rule Set)</t>
        </is>
      </c>
      <c r="I36" s="3" t="inlineStr">
        <is>
          <t>(a) Through a purpose-built portal screen</t>
        </is>
      </c>
      <c r="J36" s="3" t="inlineStr">
        <is>
          <t>policy.tests.test_portal_actions.TestIntake.* (all 12)
policy.tests.test_portal_actions.TestPages.test_the_intake_page_renders
policy.tests.test_intake.TestClassification.* (all 10)
policy.tests.test_intake.TestIntakeRequest.* (all 4)
policy.tests.test_intake.TestClassificationDrivesRoutingAndService.* (all 5)
consilium_core.tests.test_classification.TestClassification.* (all 16)</t>
        </is>
      </c>
      <c r="K36" s="2" t="inlineStr">
        <is>
          <t>✅</t>
        </is>
      </c>
      <c r="L36" s="3" t="inlineStr">
        <is>
          <t>PINT-00001 → CASS-00001 Major (R10) → GDOC-00006. PINT-00002 → CASS-00002 Minor (R20) → GDOC-00011. PINT-00008 classified on the portal as CASS-00005 Minor. Rule set CRS-00001 v1.0.</t>
        </is>
      </c>
    </row>
    <row r="37" ht="95" customHeight="1">
      <c r="A37" s="2" t="inlineStr">
        <is>
          <t>P-17</t>
        </is>
      </c>
      <c r="B37" s="3" t="inlineStr">
        <is>
          <t>POL</t>
        </is>
      </c>
      <c r="C37" s="2" t="inlineStr">
        <is>
          <t>Mandatory</t>
        </is>
      </c>
      <c r="D37" s="3" t="inlineStr">
        <is>
          <t>The system shall allow documents to be attached with no limitation on type or number, and shall present an audit log of all activity.</t>
        </is>
      </c>
      <c r="E37" s="3" t="inlineStr">
        <is>
          <t>Native attachments (desk, DK-6); body files uploaded from /policy are attached privately. The change log is on /policy. record_history (changes, comments and notifications) and the evidence-pack ZIP with a SHA-256 manifest come from evidence.export_pack on /policy.</t>
        </is>
      </c>
      <c r="F37" s="3" t="inlineStr">
        <is>
          <t>/policy?name=…</t>
        </is>
      </c>
      <c r="G37" s="3" t="inlineStr">
        <is>
          <t>—</t>
        </is>
      </c>
      <c r="H37" s="3" t="inlineStr">
        <is>
          <t>consilium/consilium_core/evidence.py → record_history()
consilium/consilium_core/evidence.py → export_pack()
consilium/www/policy.py (portal page)
consilium/policy/repository.py (module under the cited tests)
consilium/policy/handling.py (module under the cited tests)</t>
        </is>
      </c>
      <c r="I37" s="3" t="inlineStr">
        <is>
          <t>(b) Through the desk, configuration or a scheduled job — by design</t>
        </is>
      </c>
      <c r="J37" s="3" t="inlineStr">
        <is>
          <t>policy.tests.test_repository.TestGoverningDocument.test_update_is_tracked
policy.tests.test_handling.TestActions.test_an_attached_file_follows_the_download_flag_and_the_owner_may_always_download
policy.tests.test_portal_actions.TestVersions.test_a_file_attached_to_the_document_becomes_a_version
consilium_core.tests.test_core_controls_wave3.TestHistoryAndEvidencePack.* (all 4)</t>
        </is>
      </c>
      <c r="K37" s="2" t="inlineStr">
        <is>
          <t>✅ (tracking switched on; the framework writes no Version rows under test)</t>
        </is>
      </c>
      <c r="L37" s="3" t="inlineStr">
        <is>
          <t>55 Version rows and 47 comments on governing documents; 1 file attachment.</t>
        </is>
      </c>
    </row>
    <row r="38" ht="160" customHeight="1">
      <c r="A38" s="2" t="inlineStr">
        <is>
          <t>P-18</t>
        </is>
      </c>
      <c r="B38" s="3" t="inlineStr">
        <is>
          <t>POL</t>
        </is>
      </c>
      <c r="C38" s="2" t="inlineStr">
        <is>
          <t>Mandatory</t>
        </is>
      </c>
      <c r="D38" s="3" t="inlineStr">
        <is>
          <t>The system shall retain data and documents in accordance with the applicable retention policy and requirements, and shall hold documents and data in a write-once, read-many form for the duration of their retention period.</t>
        </is>
      </c>
      <c r="E38" s="3" t="inlineStr">
        <is>
          <t>Core retention guards (wildcard before_validate and on_trash), legal hold, and daily retention.flag_due_for_disposal, which raises a Disposition Event awaiting approval and deletes nothing. A retired document records its retention position in Document Disposition. Gap: executing a disposal (retention.execute_disposition) has no caller outside tests, so it is reachable from code only. Retention Assignment and Legal Hold are desk records.</t>
        </is>
      </c>
      <c r="F38" s="3" t="inlineStr">
        <is>
          <t>— (no portal screen)</t>
        </is>
      </c>
      <c r="G38" s="3" t="inlineStr">
        <is>
          <t>/app/document-disposition
/app/disposition-event — Consilium Administration workspace
/app/retention-assignment — Consilium Administration workspace
/app/legal-hold — Consilium Administration workspace</t>
        </is>
      </c>
      <c r="H38" s="3" t="inlineStr">
        <is>
          <t>consilium/consilium_core/retention.py → flag_due_for_disposal()
consilium/consilium_core/retention.py → execute_disposition()
consilium/policy/doctype/document_disposition/document_disposition.py (Document Disposition)
consilium/consilium_core/doctype/disposition_event/disposition_event.py (Disposition Event)
consilium/consilium_core/doctype/retention_assignment/retention_assignment.py (Retention Assignment)
consilium/consilium_core/doctype/legal_hold/legal_hold.py (Legal Hold)</t>
        </is>
      </c>
      <c r="I38" s="3" t="inlineStr">
        <is>
          <t>(c) Partly: the backend exists, but a step has no screen, is desk-only where a custom screen is called for, or is reachable only from code</t>
        </is>
      </c>
      <c r="J38" s="3" t="inlineStr">
        <is>
          <t>consilium_core.tests.test_retention.TestRetention.* (all 14)
consilium_core.tests.test_core_controls_wave3.TestScheduledDisposalReview.* (all 5)</t>
        </is>
      </c>
      <c r="K38" s="2" t="inlineStr">
        <is>
          <t>✅</t>
        </is>
      </c>
      <c r="L38" s="3" t="inlineStr">
        <is>
          <t>All 15 documents carry retention_class POL-DOCUMENT, but there are 0 Retention Assignments, 0 Legal Holds and 0 Disposition Events on the demo. PDSP-00013 records GDOC-00013's retirement.</t>
        </is>
      </c>
    </row>
    <row r="39" ht="160" customHeight="1">
      <c r="A39" s="2" t="inlineStr">
        <is>
          <t>P-19</t>
        </is>
      </c>
      <c r="B39" s="3" t="inlineStr">
        <is>
          <t>POL</t>
        </is>
      </c>
      <c r="C39" s="2" t="inlineStr">
        <is>
          <t>Mandatory</t>
        </is>
      </c>
      <c r="D39" s="3" t="inlineStr">
        <is>
          <t>The system shall publish governing documents with controlled access — general population, restricted, or targeted groups — supporting view-only, print-enabled and downloadable renditions according to role-based permission. Retired and superseded documents shall be retained with their version history.</t>
        </is>
      </c>
      <c r="E39" s="3" t="inlineStr">
        <is>
          <t>/policy Publish: publication.audience_preview first, then publish_record (All Employees, restricted or targeted groups; rendition flags), and withdraw_publication. The audience is told through policy.document.audience. Renditions are enforced by handling.rendition on print, download and /document-view. Retired and superseded documents keep their chain.</t>
        </is>
      </c>
      <c r="F39" s="3" t="inlineStr">
        <is>
          <t>/policy?name=…
/document-view</t>
        </is>
      </c>
      <c r="G39" s="3" t="inlineStr">
        <is>
          <t>/app/document-publication — Policy workspace
/app/governing-document — Policy workspace</t>
        </is>
      </c>
      <c r="H39" s="3" t="inlineStr">
        <is>
          <t>consilium/policy/publication.py → audience_preview()
consilium/policy/publication.py → publish_record()
consilium/policy/publication.py → withdraw_publication()
consilium/policy/handling.py → rendition()
consilium/www/policy.py (portal page)
consilium/www/document_view.py (portal page)
consilium/policy/lifecycle.py (module under the cited tests)
consilium/policy/doctype/document_publication/document_publication.py (Document Publication)
consilium/policy/doctype/governing_document/governing_document.py (Governing Document)</t>
        </is>
      </c>
      <c r="I39" s="3" t="inlineStr">
        <is>
          <t>(a) Through a purpose-built portal screen</t>
        </is>
      </c>
      <c r="J39" s="3" t="inlineStr">
        <is>
          <t>policy.tests.test_portal_actions.TestPublication.* (all 7)
policy.tests.test_handling.TestActions.test_a_view_only_rendition_closes_download_even_when_the_document_allows_it
policy.tests.test_lifecycle.TestVersioningAndPublication.test_a_view_only_rendition_closes_print_and_download</t>
        </is>
      </c>
      <c r="K39" s="2" t="inlineStr">
        <is>
          <t>✅</t>
        </is>
      </c>
      <c r="L39" s="3" t="inlineStr">
        <is>
          <t>PPUB-00008: GDOC-00010, Targeted Groups, view-only. GDOC-00013 Vendor Management Standard: Retired, superseded by GDOC-00005, 11 publications.</t>
        </is>
      </c>
    </row>
    <row r="40" ht="186" customHeight="1">
      <c r="A40" s="2" t="inlineStr">
        <is>
          <t>P-20</t>
        </is>
      </c>
      <c r="B40" s="3" t="inlineStr">
        <is>
          <t>POL</t>
        </is>
      </c>
      <c r="C40" s="2" t="inlineStr">
        <is>
          <t>Mandatory</t>
        </is>
      </c>
      <c r="D40" s="3" t="inlineStr">
        <is>
          <t>The system shall exchange policy data consistently with enterprise risk, governance and related platforms, keeping policy information, metadata and relationships aligned with authoritative sources. Inbound and outbound exchanges shall be field-mapped and configurable for source/target compatibility; alignment to enterprise taxonomies (organisational hierarchy, primary risk category, material entity) shall be maintained; handling rules shall be defined for invalid, missing or incomplete data; integration methods and frequency shall be configurable; exchanges shall support enterprise records management and retention, and enterprise identity for user selection, organisational alignment and notification routing; inbound and outbound data shall be validated for completeness and integrity; and all integration activity shall be traceable for audit and compliance.</t>
        </is>
      </c>
      <c r="E40" s="3" t="inlineStr">
        <is>
          <t>Inbound goes through /imports (CS-11): upload with a hash, mapping, validation, per-row review, exclude, revalidate, commit and discard, all batch-logged. Gap: the governed outbound export (importing.export_records, which writes an Export Batch) has no caller outside tests. Policy data leaves only as the /reports CSV (reporting.export, not batch-logged or mapped) or through desk report export. No import profile targets Governing Document.</t>
        </is>
      </c>
      <c r="F40" s="3" t="inlineStr">
        <is>
          <t>/imports
/reports</t>
        </is>
      </c>
      <c r="G40" s="3" t="inlineStr">
        <is>
          <t>/app/export-batch — Consilium Administration workspace
/app/governing-document — Policy workspace</t>
        </is>
      </c>
      <c r="H40" s="3" t="inlineStr">
        <is>
          <t>consilium/consilium_core/importing.py → export_records()
consilium/policy/reporting.py → export()
consilium/www/imports.py (portal page)
consilium/www/reports.py (portal page)
consilium/consilium_core/doctype/export_batch/export_batch.py (Export Batch)
consilium/policy/doctype/governing_document/governing_document.py (Governing Document)</t>
        </is>
      </c>
      <c r="I40" s="3" t="inlineStr">
        <is>
          <t>(c) Partly: the backend exists, but a step has no screen, is desk-only where a custom screen is called for, or is reachable only from code</t>
        </is>
      </c>
      <c r="J40" s="3" t="inlineStr">
        <is>
          <t>consilium_core.tests.test_import_pipeline.TestImportPipeline.* (all 9)
consilium_core.tests.test_imports_portal.TestUpload.* (all 5)
consilium_core.tests.test_imports_portal.TestReview.* (all 7)
consilium_core.tests.test_imports_portal.TestDiscard.* (all 1)
consilium_core.tests.test_imports_portal.TestMethods.* (all 1)
policy.tests.test_wave3.TestRegulatoryChangeImport.* (all 2)</t>
        </is>
      </c>
      <c r="K40" s="2" t="inlineStr">
        <is>
          <t>✅</t>
        </is>
      </c>
      <c r="L40" s="3" t="inlineStr">
        <is>
          <t>IMPP-00001 Regulatory changes (seeded); IMPB-00001 is an escalation batch. No policy-document batch and no Export Batch.</t>
        </is>
      </c>
    </row>
    <row r="41" ht="95" customHeight="1">
      <c r="A41" s="2" t="inlineStr">
        <is>
          <t>P-21</t>
        </is>
      </c>
      <c r="B41" s="3" t="inlineStr">
        <is>
          <t>POL</t>
        </is>
      </c>
      <c r="C41" s="2" t="inlineStr">
        <is>
          <t>Mandatory</t>
        </is>
      </c>
      <c r="D41" s="3" t="inlineStr">
        <is>
          <t>The system shall maintain applicability for each governing document and notify applicable parties automatically when a document is created, changed or retired. Applicability shall cover business units, subsidiaries and material entities; jurisdictions at provincial, federal and international level; roles or functions responsible for compliance; and formal exemptions and deviations with their approvals.</t>
        </is>
      </c>
      <c r="E41" s="3" t="inlineStr">
        <is>
          <t>Document Applicability and Applicability Exemption are captured on the desk and shown on /policy, with a daily lapse of expired exemptions. The audience is resolved at the time (applicability.affected_parties), and the publish panel previews it. First publication raises policy.document.audience; a new version in force raises policy.document.changed and retirement policy.document.retired (disposition.py, from on_update).</t>
        </is>
      </c>
      <c r="F41" s="3" t="inlineStr">
        <is>
          <t>/policy?name=…</t>
        </is>
      </c>
      <c r="G41" s="3" t="inlineStr">
        <is>
          <t>/app/governing-document → 'Document Applicability' table
/app/applicability-exemption — Policy workspace</t>
        </is>
      </c>
      <c r="H41" s="3" t="inlineStr">
        <is>
          <t>consilium/policy/applicability.py → affected_parties()
consilium/policy/disposition.py
consilium/www/policy.py (portal page)
consilium/policy/doctype/applicability_exemption/applicability_exemption.py (Applicability Exemption)
consilium/policy/repository.py (module under the cited tests)</t>
        </is>
      </c>
      <c r="I41" s="3" t="inlineStr">
        <is>
          <t>(a) Through a purpose-built portal screen</t>
        </is>
      </c>
      <c r="J41" s="3" t="inlineStr">
        <is>
          <t>policy.tests.test_repository.TestApplicability.* (all 8)
policy.tests.test_entities.TestExemptionLifecycle.* (all 5)
policy.tests.test_wave3.TestChangeAndRetirement.* (all 6)
policy.tests.test_portal_actions.TestPublication.test_the_office_records_a_publication_and_the_audience_is_told</t>
        </is>
      </c>
      <c r="K41" s="2" t="inlineStr">
        <is>
          <t>✅</t>
        </is>
      </c>
      <c r="L41" s="3" t="inlineStr">
        <is>
          <t>GDOC-00010: PEXM-00001 authorised Legal Entity exemption; PEXM-00002 deviation requested on GDOC-00004. Retirement notice sent for GDOC-00013.</t>
        </is>
      </c>
    </row>
    <row r="42" ht="82" customHeight="1">
      <c r="A42" s="2" t="inlineStr">
        <is>
          <t>P-22</t>
        </is>
      </c>
      <c r="B42" s="3" t="inlineStr">
        <is>
          <t>POL</t>
        </is>
      </c>
      <c r="C42" s="2" t="inlineStr">
        <is>
          <t>Mandatory</t>
        </is>
      </c>
      <c r="D42" s="3" t="inlineStr">
        <is>
          <t>The system shall capture policy violations — document reference, violation type, date, responsible party and corrective actions — and shall support linking a logged violation to an external issue-management record. All violations shall maintain an audit trail and be reportable for compliance monitoring and governance.</t>
        </is>
      </c>
      <c r="E42" s="3" t="inlineStr">
        <is>
          <t>Policy Violation is logged and moved on from /policy (monitoring.log_violation and update_violation). The controller refuses reopening, and refuses closing without a note. Violations appear on /policy and under "Open violations" on /reports, with CSV export. The external issue link (external_reference) and the escalation link are set on the desk (DK-1, named in the trace).</t>
        </is>
      </c>
      <c r="F42" s="3" t="inlineStr">
        <is>
          <t>/policy?name=…
/reports</t>
        </is>
      </c>
      <c r="G42" s="3" t="inlineStr">
        <is>
          <t>/app/policy-violation — Policy workspace</t>
        </is>
      </c>
      <c r="H42" s="3" t="inlineStr">
        <is>
          <t>consilium/policy/monitoring.py → log_violation()
consilium/policy/monitoring.py → update_violation()
consilium/www/policy.py (portal page)
consilium/www/reports.py (portal page)
consilium/policy/doctype/policy_violation/policy_violation.py (Policy Violation)</t>
        </is>
      </c>
      <c r="I42" s="3" t="inlineStr">
        <is>
          <t>(a) Through a purpose-built portal screen</t>
        </is>
      </c>
      <c r="J42" s="3" t="inlineStr">
        <is>
          <t>policy.tests.test_monitoring.TestViolations.* (all 5)
policy.tests.test_wave3.TestViolationTransitions.* (all 3)
policy.tests.test_wave3.TestReporting.* (all 3)
policy.tests.test_portal_actions.TestMonitoring.test_a_reviewer_logs_a_violation</t>
        </is>
      </c>
      <c r="K42" s="2" t="inlineStr">
        <is>
          <t>✅</t>
        </is>
      </c>
      <c r="L42" s="3" t="inlineStr">
        <is>
          <t>PVIO-00001 High on GDOC-00012 → ESC-2026-00009. PVIO-00002 on GDOC-00010 → ESC-2026-00003.</t>
        </is>
      </c>
    </row>
    <row r="43" ht="108" customHeight="1">
      <c r="A43" s="2" t="inlineStr">
        <is>
          <t>P-23</t>
        </is>
      </c>
      <c r="B43" s="3" t="inlineStr">
        <is>
          <t>POL</t>
        </is>
      </c>
      <c r="C43" s="2" t="inlineStr">
        <is>
          <t>Mandatory</t>
        </is>
      </c>
      <c r="D43" s="3" t="inlineStr">
        <is>
          <t>The system shall allow document owners and the enterprise policy office to identify changes that leave required fields invalid — for example, where a required parent document is retired, the child document shall be notified and its owner required to realign to a new parent.</t>
        </is>
      </c>
      <c r="E43" s="3" t="inlineStr">
        <is>
          <t>on_update raises a Metadata Remediation Task when a parent leaves force. The task appears in /tasks under "Metadata to correct" and is corrected in place on /policy (metadata.correct_metadata, which resolves the task). /reports lists missing metadata with a "Correct in place" link.</t>
        </is>
      </c>
      <c r="F43" s="3" t="inlineStr">
        <is>
          <t>/tasks
/policy?name=…
/reports</t>
        </is>
      </c>
      <c r="G43" s="3" t="inlineStr">
        <is>
          <t>/app/metadata-remediation-task — Policy workspace</t>
        </is>
      </c>
      <c r="H43" s="3" t="inlineStr">
        <is>
          <t>consilium/policy/metadata.py → correct_metadata()
consilium/www/tasks.py (portal page)
consilium/www/policy.py (portal page)
consilium/www/reports.py (portal page)
consilium/policy/doctype/metadata_remediation_task/metadata_remediation_task.py (Metadata Remediation Task)
consilium/policy/monitoring.py (module under the cited tests)</t>
        </is>
      </c>
      <c r="I43" s="3" t="inlineStr">
        <is>
          <t>(a) Through a purpose-built portal screen</t>
        </is>
      </c>
      <c r="J43" s="3" t="inlineStr">
        <is>
          <t>policy.tests.test_monitoring.TestMetadataMaintenance.* (all 7)
policy.tests.test_wave3.TestMetadataCorrection.* (all 3)
policy.tests.test_regressions.TestReopening.test_reopening_a_parent_does_not_tell_its_children_their_parent_retired
policy.tests.test_regressions.TestReopening.test_retiring_a_parent_still_tells_its_children
policy.tests.test_regressions.TestMaintenanceView.* (all 1)</t>
        </is>
      </c>
      <c r="K43" s="2" t="inlineStr">
        <is>
          <t>✅</t>
        </is>
      </c>
      <c r="L43" s="3" t="inlineStr">
        <is>
          <t>GDOC-00013 retired → PMRT-00001 on GDOC-00014 (parent_document, "Parent Retired").</t>
        </is>
      </c>
    </row>
    <row r="44" ht="108" customHeight="1">
      <c r="A44" s="2" t="inlineStr">
        <is>
          <t>P-24</t>
        </is>
      </c>
      <c r="B44" s="3" t="inlineStr">
        <is>
          <t>POL</t>
        </is>
      </c>
      <c r="C44" s="2" t="inlineStr">
        <is>
          <t>Mandatory</t>
        </is>
      </c>
      <c r="D44" s="3" t="inlineStr">
        <is>
          <t>The system shall maintain a glossary of terms at enterprise level and at lower levels such as document or document-family level. It shall enforce the use of official definitions by preventing users from creating or applying terms not in the approved glossary. Terms shall be linkable to documents for contextual help. All glossary changes shall carry version control and a complete audit trail.</t>
        </is>
      </c>
      <c r="E44" s="3" t="inlineStr">
        <is>
          <t>Glossary Term sits on the Core version chain (desk). The enforcement validator refuses and logs a synonym or retired wording used instead of an enforced term, on save and on version upload. Definitions are shown in context on /policy and /document-view (glossary.in_context). Document-scoped terms are supported. Note: enforcement works through the synonyms and retired wording recorded against enforced terms; text that is in no glossary at all cannot be detected.</t>
        </is>
      </c>
      <c r="F44" s="3" t="inlineStr">
        <is>
          <t>/policy?name=…
/document-view</t>
        </is>
      </c>
      <c r="G44" s="3" t="inlineStr">
        <is>
          <t>/app/glossary-term — Policy workspace</t>
        </is>
      </c>
      <c r="H44" s="3" t="inlineStr">
        <is>
          <t>consilium/policy/glossary.py → in_context()
consilium/www/policy.py (portal page)
consilium/www/document_view.py (portal page)
consilium/policy/doctype/glossary_term/glossary_term.py (Glossary Term)
consilium/policy/monitoring.py (module under the cited tests)</t>
        </is>
      </c>
      <c r="I44" s="3" t="inlineStr">
        <is>
          <t>(a) Through a purpose-built portal screen</t>
        </is>
      </c>
      <c r="J44" s="3" t="inlineStr">
        <is>
          <t>policy.tests.test_naming_glossary.TestGlossaryEnforcement.* (all 9)
policy.tests.test_wave3.TestGlossaryOnThePage.* (all 2)
policy.tests.test_monitoring.TestGlossary.* (all 8)</t>
        </is>
      </c>
      <c r="K44" s="2" t="inlineStr">
        <is>
          <t>✅</t>
        </is>
      </c>
      <c r="L44" s="3" t="inlineStr">
        <is>
          <t>13 terms; GTRM-00012 "Emergency Change" scoped to GDOC-00012 and enforced; GTRM-00011 Proposed.</t>
        </is>
      </c>
    </row>
    <row r="45" ht="108" customHeight="1">
      <c r="A45" s="2" t="inlineStr">
        <is>
          <t>P-25</t>
        </is>
      </c>
      <c r="B45" s="3" t="inlineStr">
        <is>
          <t>POL</t>
        </is>
      </c>
      <c r="C45" s="2" t="inlineStr">
        <is>
          <t>Mandatory</t>
        </is>
      </c>
      <c r="D45" s="3" t="inlineStr">
        <is>
          <t>The system shall enforce a mandatory approval control before any governing document is published. No document may be published without completing all approvals required for its classification — new, major revision or minor revision. The approval workflow shall be configurable for multiple steps and roles, sequential or parallel, and shall keep a full audit trail of approvals including timestamp, approver identity and decision. Bypass or override without documented exception authorisation shall be prevented.</t>
        </is>
      </c>
      <c r="E45" s="3" t="inlineStr">
        <is>
          <t>Gates (Complete Approval Chain on Approved and Published; Current Version; Applicability; Publication Record) run from GoverningDocument.validate on every route. /policy shows the failing gate before an action is taken and refuses it after. Sequential order is enforced by Core. A bypass or gate exception needs an Exception Authorisation approved by the policy office, never self-approved. Record Approval needs a complete chain.</t>
        </is>
      </c>
      <c r="F45" s="3" t="inlineStr">
        <is>
          <t>/policy?name=…</t>
        </is>
      </c>
      <c r="G45" s="3" t="inlineStr">
        <is>
          <t>/app/exception-authorisation — Consilium Administration workspace</t>
        </is>
      </c>
      <c r="H45" s="3" t="inlineStr">
        <is>
          <t>consilium/policy/doctype/governing_document/governing_document.py → GoverningDocument.validate()
consilium/www/policy.py (portal page)
consilium/consilium_core/doctype/exception_authorisation/exception_authorisation.py (Exception Authorisation)
consilium/policy/lifecycle.py (module under the cited tests)</t>
        </is>
      </c>
      <c r="I45" s="3" t="inlineStr">
        <is>
          <t>(a) Through a purpose-built portal screen</t>
        </is>
      </c>
      <c r="J45" s="3" t="inlineStr">
        <is>
          <t>policy.tests.test_lifecycle.TestPublicationRefusal.* (all 7)
policy.tests.test_regressions.TestGatesOnEveryRoute.* (all 3)
policy.tests.test_w3_record_approval.TestRecordApprovalChecksTheChain.* (all 5)
policy.tests.test_wave3.TestGateExceptions.* (all 4)
policy.tests.test_portal_actions.TestLifecycleActions.* (all 8)
policy.tests.test_wave3_policy.TestDocumentStepOrder.* (all 1)</t>
        </is>
      </c>
      <c r="K45" s="2" t="inlineStr">
        <is>
          <t>✅</t>
        </is>
      </c>
      <c r="L45" s="3" t="inlineStr">
        <is>
          <t>GDOC-00005 in Review: 1 approved and 1 pending step. GDOC-00011 in Review: 1 pending. Gates PLGT-00001…06.</t>
        </is>
      </c>
    </row>
    <row r="46" ht="147" customHeight="1">
      <c r="A46" s="2" t="inlineStr">
        <is>
          <t>P-26</t>
        </is>
      </c>
      <c r="B46" s="3" t="inlineStr">
        <is>
          <t>POL</t>
        </is>
      </c>
      <c r="C46" s="2" t="inlineStr">
        <is>
          <t>Mandatory</t>
        </is>
      </c>
      <c r="D46" s="3" t="inlineStr">
        <is>
          <t>The system shall support a structured editing and review capability: transition of a document into a designated review stage; reviewer assignment configurable by role, group or document characteristic; sequential or parallel review; inline comment and revision suggestion; owner disposition of feedback in real time with automatic notification to the originator; version control with visibility of all changes; a complete audit trail of comments, dispositions, edits and notifications; and retention of prior versions.</t>
        </is>
      </c>
      <c r="E46" s="3" t="inlineStr">
        <is>
          <t>The review stage is reached through "Submit for Review" on /policy. The reviewer returns with comments ("Return to Drafting") on /policy, cannot edit the content, and the owner is told. Reviewers and approvers are assigned by role (workflow) and by document characteristic (Approval Route), sequential or parallel. A Document Disposition is written per review round, "Review Returned" or "Review Accepted", and the originator is told (policy.review.disposition). Version chain as in P-9. Gap: a reviewer cannot take "Return to Drafting" from the desk. The Review state is editable only by the owner, so the desk's workflow action fails for the reviewer; the portal works. No assignment by user group.</t>
        </is>
      </c>
      <c r="F46" s="3" t="inlineStr">
        <is>
          <t>/policy?name=…</t>
        </is>
      </c>
      <c r="G46" s="3" t="inlineStr">
        <is>
          <t>/app/document-disposition
/app/approval-route — Policy workspace</t>
        </is>
      </c>
      <c r="H46" s="3" t="inlineStr">
        <is>
          <t>consilium/www/policy.py (portal page)
consilium/policy/doctype/document_disposition/document_disposition.py (Document Disposition)
consilium/policy/doctype/approval_route/approval_route.py (Approval Route)
consilium/policy/lifecycle.py (module under the cited tests)</t>
        </is>
      </c>
      <c r="I46" s="3" t="inlineStr">
        <is>
          <t>(a) Through a purpose-built portal screen</t>
        </is>
      </c>
      <c r="J46" s="3" t="inlineStr">
        <is>
          <t>policy.tests.test_wave3.TestReviewerReturn.* (all 4)
policy.tests.test_portal_actions.TestLifecycleActions.test_a_reviewer_returns_a_document_to_drafting
policy.tests.test_lifecycle.TestLifecycleTransitions.* (all 4)</t>
        </is>
      </c>
      <c r="K46" s="2" t="inlineStr">
        <is>
          <t>✅</t>
        </is>
      </c>
      <c r="L46" s="3" t="inlineStr">
        <is>
          <t>PDSP-00001…12 Review Accepted (one per published document); GDOC-00005, 00011 and 00015 in Review. There is no "Review Returned" disposition on the demo.</t>
        </is>
      </c>
    </row>
    <row r="47" ht="82" customHeight="1">
      <c r="A47" s="2" t="inlineStr">
        <is>
          <t>E-1</t>
        </is>
      </c>
      <c r="B47" s="3" t="inlineStr">
        <is>
          <t>ESC</t>
        </is>
      </c>
      <c r="C47" s="2" t="inlineStr">
        <is>
          <t>Mandatory</t>
        </is>
      </c>
      <c r="D47" s="3" t="inlineStr">
        <is>
          <t>The system shall provide a centralized, searchable repository of escalation matters and their metadata, with access, visibility and permitted actions governed by role-based access control.</t>
        </is>
      </c>
      <c r="E47" s="3" t="inlineStr">
        <is>
          <t>Escalation Matter with role permissions and the sensitivity hooks; register /escalations, detail /escalation, created on /raise-escalation (templates.raise_escalation) or the desk.</t>
        </is>
      </c>
      <c r="F47" s="3" t="inlineStr">
        <is>
          <t>/escalations
/escalation?name=…
/raise-escalation</t>
        </is>
      </c>
      <c r="G47" s="3" t="inlineStr">
        <is>
          <t>/app/escalation-matter — Escalation workspace</t>
        </is>
      </c>
      <c r="H47" s="3" t="inlineStr">
        <is>
          <t>consilium/escalation/templates.py → raise_escalation()
consilium/www/escalations.py (portal page)
consilium/www/escalation.py (portal page)
consilium/www/raise_escalation.py (portal page)
consilium/escalation/doctype/escalation_matter/escalation_matter.py (Escalation Matter)</t>
        </is>
      </c>
      <c r="I47" s="3" t="inlineStr">
        <is>
          <t>(a) Through a purpose-built portal screen</t>
        </is>
      </c>
      <c r="J47" s="3" t="inlineStr">
        <is>
          <t>escalation.tests.test_entities.TestEscalationMatter.* (all 8)
escalation.tests.test_entities.TestModuleShape.* (all 3)
escalation.tests.test_portal_actions.TestRaise.* (all 6)</t>
        </is>
      </c>
      <c r="K47" s="2" t="inlineStr">
        <is>
          <t>✅</t>
        </is>
      </c>
      <c r="L47" s="3" t="inlineStr">
        <is>
          <t>15 matters ESC-2026-00001 … 00015 across all six states.</t>
        </is>
      </c>
    </row>
    <row r="48" ht="95" customHeight="1">
      <c r="A48" s="2" t="inlineStr">
        <is>
          <t>E-2</t>
        </is>
      </c>
      <c r="B48" s="3" t="inlineStr">
        <is>
          <t>ESC</t>
        </is>
      </c>
      <c r="C48" s="2" t="inlineStr">
        <is>
          <t>Mandatory</t>
        </is>
      </c>
      <c r="D48" s="3" t="inlineStr">
        <is>
          <t>The system shall provide advanced search and filtering of escalation matters by metadata.</t>
        </is>
      </c>
      <c r="E48" s="3" t="inlineStr">
        <is>
          <t>/escalations: filters on standing, age band, severity, status, type, level; free-text search on title, reference, trigger; sortable columns incl. risk types and accountable executive; filters kept in the address; search also taken from ?q=; rows read over REST so sensitive rows are excluded; Export CSV. The header's global search finds a matter by reference, title or external reference from any page, sensitive matters only for the cleared.</t>
        </is>
      </c>
      <c r="F48" s="3" t="inlineStr">
        <is>
          <t>/escalations</t>
        </is>
      </c>
      <c r="G48" s="3" t="inlineStr">
        <is>
          <t>/app/escalation-matter — Escalation workspace</t>
        </is>
      </c>
      <c r="H48" s="3" t="inlineStr">
        <is>
          <t>consilium/www/escalations.py (portal page)
consilium/escalation/sensitivity.py (module under the cited tests)
consilium/escalation/doctype/escalation_matter/escalation_matter.py (Escalation Matter)</t>
        </is>
      </c>
      <c r="I48" s="3" t="inlineStr">
        <is>
          <t>(a) Through a purpose-built portal screen</t>
        </is>
      </c>
      <c r="J48" s="3" t="inlineStr">
        <is>
          <t>consilium_core.tests.test_global_search.TestGlobalSearch.* (all 9)
escalation.tests.test_sensitivity.TestSensitiveMatters.test_the_api_list_hides_a_sensitive_matter
escalation.tests.test_sensitivity.TestSensitiveMatters.test_a_filtered_api_read_cannot_be_used_to_confirm_existence
consilium_core.tests.test_portal_pages.TestAdministrator.test_every_page_renders_with_its_key_sections</t>
        </is>
      </c>
      <c r="K48" s="2" t="inlineStr">
        <is>
          <t>✅</t>
        </is>
      </c>
      <c r="L48" s="3" t="inlineStr">
        <is>
          <t>/escalations?standing=all&amp;severity=High lists ESC-2026-00001, 00003, 00004, 00007, 00009, 00014, 00015 (00003 and 00004 only to cleared readers).</t>
        </is>
      </c>
    </row>
    <row r="49" ht="121" customHeight="1">
      <c r="A49" s="2" t="inlineStr">
        <is>
          <t>E-3</t>
        </is>
      </c>
      <c r="B49" s="3" t="inlineStr">
        <is>
          <t>ESC</t>
        </is>
      </c>
      <c r="C49" s="2" t="inlineStr">
        <is>
          <t>Mandatory</t>
        </is>
      </c>
      <c r="D49" s="3" t="inlineStr">
        <is>
          <t>The system shall allow escalation matters to be tagged with controlled metadata, with field dependencies, drawn from the same taxonomies used elsewhere in the platform and controlled by dropdown selection. Named attributes: escalation title, escalation identifier, escalation type, identification date, matter description, tier-1 risk type, tier-2 risk type where applicable, impacted entity, the person who identified the matter, the organisational level of the escalation, and the accountable executive.</t>
        </is>
      </c>
      <c r="E49" s="3" t="inlineStr">
        <is>
          <t>All named fields; tier-1 and tier-2 from one tiered Risk Type taxonomy; Escalation Impacted Entity child table; captured on /raise-escalation (options from intake_options, retired values not offered) and shown on /escalation.</t>
        </is>
      </c>
      <c r="F49" s="3" t="inlineStr">
        <is>
          <t>/raise-escalation
/escalation?name=…</t>
        </is>
      </c>
      <c r="G49" s="3" t="inlineStr">
        <is>
          <t>/app/risk-type — Consilium Administration workspace
/app/escalation-matter → 'Escalation Impacted Entity' table</t>
        </is>
      </c>
      <c r="H49" s="3" t="inlineStr">
        <is>
          <t>consilium/escalation/templates.py → intake_options()
consilium/www/raise_escalation.py (portal page)
consilium/www/escalation.py (portal page)
consilium/consilium_core/doctype/risk_type/risk_type.py (Risk Type)
consilium/consilium_core/taxonomy.py (module under the cited tests)</t>
        </is>
      </c>
      <c r="I49" s="3" t="inlineStr">
        <is>
          <t>(a) Through a purpose-built portal screen</t>
        </is>
      </c>
      <c r="J49" s="3" t="inlineStr">
        <is>
          <t>escalation.tests.test_entities.TestEscalationMatter.test_identification_and_escalation_dates_are_separate_fields
escalation.tests.test_entities.TestEscalationMatter.test_forums_and_impacted_entities_are_plural
escalation.tests.test_entities.TestEscalationMatter.test_an_unknown_impacted_entity_kind_is_refused
escalation.tests.test_assignment_and_timing.TestRetiredValuesAreNotOffered.* (all 1)
consilium_core.tests.test_taxonomy.TestActiveOnlySearch.* (all 6)</t>
        </is>
      </c>
      <c r="K49" s="2" t="inlineStr">
        <is>
          <t>✅</t>
        </is>
      </c>
      <c r="L49" s="3" t="inlineStr">
        <is>
          <t>ESC-2026-00007 (LIMIT_BREACH): impacted Line of Business PCB and Material Entity ME_BANK.</t>
        </is>
      </c>
    </row>
    <row r="50" ht="69" customHeight="1">
      <c r="A50" s="2" t="inlineStr">
        <is>
          <t>E-4</t>
        </is>
      </c>
      <c r="B50" s="3" t="inlineStr">
        <is>
          <t>ESC</t>
        </is>
      </c>
      <c r="C50" s="2" t="inlineStr">
        <is>
          <t>Mandatory</t>
        </is>
      </c>
      <c r="D50" s="3" t="inlineStr">
        <is>
          <t>The system shall support predefined escalation triggers, including adverse events and risk appetite breaches, as defined in approved escalation matrices. Trigger severity — High, Medium, Low — shall determine routing and escalation pathway.</t>
        </is>
      </c>
      <c r="E50" s="3" t="inlineStr">
        <is>
          <t>Escalation Matrix + Escalation Matrix Rule (condition, resulting severity, forums, queue, SLA) on desk; routing.apply_routing on save records the rule; raise_escalation lets the matrix set severity or records a manual override; shown on /escalation.</t>
        </is>
      </c>
      <c r="F50" s="3" t="inlineStr">
        <is>
          <t>/escalation?name=…</t>
        </is>
      </c>
      <c r="G50" s="3" t="inlineStr">
        <is>
          <t>/app/escalation-matrix — Escalation workspace
/app/escalation-matrix → 'Escalation Matrix Rule' table</t>
        </is>
      </c>
      <c r="H50" s="3" t="inlineStr">
        <is>
          <t>consilium/escalation/routing.py → apply_routing()
consilium/escalation/templates.py → raise_escalation()
consilium/www/escalation.py (portal page)
consilium/escalation/doctype/escalation_matrix/escalation_matrix.py (Escalation Matrix)</t>
        </is>
      </c>
      <c r="I50" s="3" t="inlineStr">
        <is>
          <t>(a) Through a purpose-built portal screen</t>
        </is>
      </c>
      <c r="J50" s="3" t="inlineStr">
        <is>
          <t>escalation.tests.test_routing.TestRouting.* (all 12)
escalation.tests.test_portal_actions.TestRaise.test_the_matrix_sets_the_severity_when_none_is_chosen
escalation.tests.test_portal_actions.TestRaise.test_a_chosen_severity_is_recorded_as_an_override</t>
        </is>
      </c>
      <c r="K50" s="2" t="inlineStr">
        <is>
          <t>✅</t>
        </is>
      </c>
      <c r="L50" s="3" t="inlineStr">
        <is>
          <t>Matrix ENTERPRISE-ESC, 13 rules R05-SYSTEMIC … R99-DEFAULT; ESC-2026-00007 matched R10-APPETITE (High, source Matrix); ESC-2026-00003 Manual Override.</t>
        </is>
      </c>
    </row>
    <row r="51" ht="108" customHeight="1">
      <c r="A51" s="2" t="inlineStr">
        <is>
          <t>E-5</t>
        </is>
      </c>
      <c r="B51" s="3" t="inlineStr">
        <is>
          <t>ESC</t>
        </is>
      </c>
      <c r="C51" s="2" t="inlineStr">
        <is>
          <t>Mandatory</t>
        </is>
      </c>
      <c r="D51" s="3" t="inlineStr">
        <is>
          <t>The system shall enforce required data fields at intake while allowing optional fields to vary by escalation type and severity, and shall support routing an initial submission to further individuals through configurable workflow to gather additional detail and obtain approvals.</t>
        </is>
      </c>
      <c r="E51" s="3" t="inlineStr">
        <is>
          <t>Template-driven required fields by type and severity, enforced on save and offered on /raise-escalation (template_requirements). Routing to others: the matrix rule's role or group queue (assignment.apply_assignment), queue notice, Take ownership (assignment.take_ownership); send for second-line review (move_matter_status) and review rounds; risk-acceptance approval request to a named approver. All on /escalation.</t>
        </is>
      </c>
      <c r="F51" s="3" t="inlineStr">
        <is>
          <t>/raise-escalation
/escalation?name=…</t>
        </is>
      </c>
      <c r="G51" s="3" t="inlineStr">
        <is>
          <t>/app/escalation-matter — Escalation workspace</t>
        </is>
      </c>
      <c r="H51" s="3" t="inlineStr">
        <is>
          <t>consilium/escalation/templates.py → template_requirements()
consilium/escalation/assignment.py → apply_assignment()
consilium/escalation/assignment.py → take_ownership()
consilium/escalation/resolution.py → move_matter_status()
consilium/www/raise_escalation.py (portal page)
consilium/www/escalation.py (portal page)
consilium/escalation/doctype/escalation_matter/escalation_matter.py (Escalation Matter)</t>
        </is>
      </c>
      <c r="I51" s="3" t="inlineStr">
        <is>
          <t>(a) Through a purpose-built portal screen</t>
        </is>
      </c>
      <c r="J51" s="3" t="inlineStr">
        <is>
          <t>escalation.tests.test_templates.TestTemplates.* (all 8)
escalation.tests.test_assignment_and_timing.TestAssignmentByGroup.* (all 10)
escalation.tests.test_assignment_and_timing.TestAssignmentByRole.* (all 1)
escalation.tests.test_portal_actions.TestRaise.test_the_escalation_template_is_enforced
escalation.tests.test_portal_actions.TestStatus.* (all 4)</t>
        </is>
      </c>
      <c r="K51" s="2" t="inlineStr">
        <is>
          <t>✅</t>
        </is>
      </c>
      <c r="L51" s="3" t="inlineStr">
        <is>
          <t>ESC-2026-00012 waiting in group queue Risk Management Function (R75-PROCESS); ESC-2026-00013 taken from Technology and Operations Leadership; templates ESC-INCIDENT, ESC-REGULATORY, ESC-LIMIT.</t>
        </is>
      </c>
    </row>
    <row r="52" ht="147" customHeight="1">
      <c r="A52" s="2" t="inlineStr">
        <is>
          <t>E-6</t>
        </is>
      </c>
      <c r="B52" s="3" t="inlineStr">
        <is>
          <t>ESC</t>
        </is>
      </c>
      <c r="C52" s="2" t="inlineStr">
        <is>
          <t>Mandatory</t>
        </is>
      </c>
      <c r="D52" s="3" t="inlineStr">
        <is>
          <t>The system shall allow templates to be configured per escalation matter type, with standardized required fields shared across templates. Three templates are specified: the escalation template (identifier, title, type, identification date, tier-1 risk type, accountable executive, governance forum(s), impacted entities, status, trigger, escalation date); the action plan template (escalation identifier, name, start date, end date, accountable executive, owner, status, governance forum(s)); and the risk acceptance template (escalation identifier, name, external risk acceptance identifier where available, start date, end date, accountable executive, status, governance forum(s), rationale).</t>
        </is>
      </c>
      <c r="E52" s="3" t="inlineStr">
        <is>
          <t>Escalation Template in three scopes with a shared field set; Action Plan and Risk Acceptance apply their own template; both added from /escalation (add_action_plan, add_risk_acceptance) or desk.</t>
        </is>
      </c>
      <c r="F52" s="3" t="inlineStr">
        <is>
          <t>/escalation?name=…</t>
        </is>
      </c>
      <c r="G52" s="3" t="inlineStr">
        <is>
          <t>/app/escalation-template — Escalation workspace
/app/action-plan — Escalation workspace
/app/risk-acceptance — Escalation workspace</t>
        </is>
      </c>
      <c r="H52" s="3" t="inlineStr">
        <is>
          <t>consilium/escalation/resolution.py → add_action_plan()
consilium/escalation/approvals.py → add_risk_acceptance()
consilium/www/escalation.py (portal page)
consilium/escalation/doctype/escalation_template/escalation_template.py (Escalation Template)
consilium/escalation/doctype/action_plan/action_plan.py (Action Plan)
consilium/escalation/doctype/risk_acceptance/risk_acceptance.py (Risk Acceptance)
consilium/escalation/templates.py (module under the cited tests)</t>
        </is>
      </c>
      <c r="I52" s="3" t="inlineStr">
        <is>
          <t>(a) Through a purpose-built portal screen</t>
        </is>
      </c>
      <c r="J52" s="3" t="inlineStr">
        <is>
          <t>escalation.tests.test_templates.TestTemplates.* (all 8)
escalation.tests.test_entities.TestActionPlan.* (all 2)
escalation.tests.test_portal_actions.TestActionPlans.* (all 4)</t>
        </is>
      </c>
      <c r="K52" s="2" t="inlineStr">
        <is>
          <t>✅</t>
        </is>
      </c>
      <c r="L52" s="3" t="inlineStr">
        <is>
          <t>ESC-INCIDENT, AP-INCIDENT, RA-LIMIT; ESC-2026-00001 with ACTP-00001, ACTP-00002 and RACC-00001.</t>
        </is>
      </c>
    </row>
    <row r="53" ht="82" customHeight="1">
      <c r="A53" s="2" t="inlineStr">
        <is>
          <t>E-7</t>
        </is>
      </c>
      <c r="B53" s="3" t="inlineStr">
        <is>
          <t>ESC</t>
        </is>
      </c>
      <c r="C53" s="2" t="inlineStr">
        <is>
          <t>Mandatory</t>
        </is>
      </c>
      <c r="D53" s="3" t="inlineStr">
        <is>
          <t>The system shall allow one or more governance forums to be selected as the escalation pathway, drawn from the forum inventory, and shall pull forum participant details — Committee Secretary and others — in order to notify them.</t>
        </is>
      </c>
      <c r="E53" s="3" t="inlineStr">
        <is>
          <t>Escalation Forum Link (active forums only), proposed by the matrix, changed on /escalation (routing.set_pathway; a matrix-routed forum cannot be removed). routing.forum_participants resolves chair, secretary and attesting seats (and live delegates) from Forum Membership as at today; breach and material-entity notices reach them and stamp notified_on; "Who a notice reaches" on /escalation.</t>
        </is>
      </c>
      <c r="F53" s="3" t="inlineStr">
        <is>
          <t>/escalation?name=…</t>
        </is>
      </c>
      <c r="G53" s="3" t="inlineStr">
        <is>
          <t>/app/escalation-matter → 'Escalation Forum Link' table
/app/forum-membership — Governance workspace</t>
        </is>
      </c>
      <c r="H53" s="3" t="inlineStr">
        <is>
          <t>consilium/escalation/routing.py → set_pathway()
consilium/escalation/routing.py → forum_participants()
consilium/www/escalation.py (portal page)
consilium/governance/doctype/forum_membership/forum_membership.py (Forum Membership)</t>
        </is>
      </c>
      <c r="I53" s="3" t="inlineStr">
        <is>
          <t>(a) Through a purpose-built portal screen</t>
        </is>
      </c>
      <c r="J53" s="3" t="inlineStr">
        <is>
          <t>escalation.tests.test_participants.TestPathwayParticipants.* (all 5)
escalation.tests.test_portal_actions.TestPathway.* (all 4)
escalation.tests.test_routing.TestRouting.test_an_inactive_forum_cannot_be_a_destination</t>
        </is>
      </c>
      <c r="K53" s="2" t="inlineStr">
        <is>
          <t>✅</t>
        </is>
      </c>
      <c r="L53" s="3" t="inlineStr">
        <is>
          <t>ESC-2026-00007 pathway FRM-2026-00002 and FRM-2026-00005, notified (R10-APPETITE); ESC-2026-00009 and ESC-2026-00001 notified (R20-MATERIAL).</t>
        </is>
      </c>
    </row>
    <row r="54" ht="134" customHeight="1">
      <c r="A54" s="2" t="inlineStr">
        <is>
          <t>E-8</t>
        </is>
      </c>
      <c r="B54" s="3" t="inlineStr">
        <is>
          <t>ESC</t>
        </is>
      </c>
      <c r="C54" s="2" t="inlineStr">
        <is>
          <t>Mandatory</t>
        </is>
      </c>
      <c r="D54" s="3" t="inlineStr">
        <is>
          <t>The system shall automate logging, review, actioning and resolution of escalation matters, including: assignment of users by role and group; attachment and approval of closure documents; workflows, pathways and roles configurable by matter type and severity; storage and reference of escalation matrices for automated routing; automatic notification of the relevant governance forum when a material-entity impact flag is set; and, where the matter is triggered by a risk appetite breach, the ability to flag the breach and follow the breach workflow. Configuration shall require no custom development.</t>
        </is>
      </c>
      <c r="E54" s="3" t="inlineStr">
        <is>
          <t>Assignment by role or group from the matrix rule with Take ownership; closure record with criteria and approval stamp (record_matter_closure, close_matter); matrix routing; material-entity notice to pathway forum participants (notify_material_entity_impact); breach flag and path (R10-APPETITE, breach raises severity). Pathways, roles, queues, service levels and required fields are configuration per type and severity. Missing: the workflow itself is not configurable by type and severity: there is no Workflow on Escalation Matter, and move_matter_status lets the stage's role move between any two open states for every type and severity.</t>
        </is>
      </c>
      <c r="F54" s="3" t="inlineStr">
        <is>
          <t>— (no portal screen)</t>
        </is>
      </c>
      <c r="G54" s="3" t="inlineStr">
        <is>
          <t>/app/escalation-matter — Escalation workspace</t>
        </is>
      </c>
      <c r="H54" s="3" t="inlineStr">
        <is>
          <t>consilium/escalation/resolution.py → record_matter_closure()
consilium/escalation/resolution.py → close_matter()
consilium/escalation/resolution.py → notify_material_entity_impact()
consilium/escalation/resolution.py → move_matter_status()
consilium/escalation/doctype/escalation_matter/escalation_matter.py (Escalation Matter)
consilium/escalation/routing.py (module under the cited tests)</t>
        </is>
      </c>
      <c r="I54" s="3" t="inlineStr">
        <is>
          <t>(d) Not implemented, wholly or in a mandatory clause</t>
        </is>
      </c>
      <c r="J54" s="3" t="inlineStr">
        <is>
          <t>escalation.tests.test_assignment_and_timing.TestAssignmentByGroup.* (all 10)
escalation.tests.test_assignment_and_timing.TestAssignmentByRole.* (all 1)
escalation.tests.test_participants.TestPathwayParticipants.test_material_entity_impact_notifies_them_and_stamps_the_forum
escalation.tests.test_resolution.TestSecondLineChallenge.test_material_entity_impact_notifies
escalation.tests.test_routing.TestRouting.* (all 12)</t>
        </is>
      </c>
      <c r="K54" s="2" t="inlineStr">
        <is>
          <t>✅ (what exists)</t>
        </is>
      </c>
      <c r="L54" s="3" t="inlineStr">
        <is>
          <t>ESC-2026-00007 risk-appetite breach, auto-escalated, breach_count 1; ESC-2026-00009 material-entity impact notified; ESCC-00001 … 00004 closures.</t>
        </is>
      </c>
    </row>
    <row r="55" ht="225" customHeight="1">
      <c r="A55" s="2" t="inlineStr">
        <is>
          <t>E-9</t>
        </is>
      </c>
      <c r="B55" s="3" t="inlineStr">
        <is>
          <t>ESC</t>
        </is>
      </c>
      <c r="C55" s="2" t="inlineStr">
        <is>
          <t>Mandatory</t>
        </is>
      </c>
      <c r="D55" s="3" t="inlineStr">
        <is>
          <t>The system shall support a structured, role-based review and approval process. Review and challenge: multi-step review by role and severity, including configurable second-line-of-defence challenge with service levels before escalation to accountable executives or governance forums, with review actions, comments and outcomes retained in the audit trail. Approval and accountability: configurable sequential or parallel approvals aligned to type, severity and organisational hierarchy; risk acceptance workflows with documented approvals and periodic reassessment; accountability tracked by role with timestamps and decision records. Pathways and exceptions: configurable pathways aligned to governance forum structures and organisational hierarchy; delegation of routing responsibility where permitted; exception handling; restricted access for sensitive escalations; escalation to the Head of Enterprise Risk for systemic issues. Completion of the escalation response template is mandatory for all escalations, including those tracked in an external system.</t>
        </is>
      </c>
      <c r="E55" s="3" t="inlineStr">
        <is>
          <t>Review rounds from /escalation (record_review_round, independent of the accountable people); second-line challenge clock (Time In State on requires_review, scoped {"systemic": 1}) stamped on the round; systemic route (matrix rule on systemic to a higher role and forums); risk-acceptance approval by an independent named approver or a forum motion, with delegation through Authority Delegation; reassessment and expiry reminders (reminders.remind_risk_acceptances, daily); sensitive restriction; response-template gate on closure. Missing: configurable sequential or parallel approvals aligned to type, severity and hierarchy: an acceptance takes one named approver (a second request is refused), and nothing configures an approval chain for escalations.</t>
        </is>
      </c>
      <c r="F55" s="3" t="inlineStr">
        <is>
          <t>/escalation?name=…</t>
        </is>
      </c>
      <c r="G55" s="3" t="inlineStr">
        <is>
          <t>/app/authority-delegation — Consilium Administration workspace</t>
        </is>
      </c>
      <c r="H55" s="3" t="inlineStr">
        <is>
          <t>consilium/escalation/resolution.py → record_review_round()
consilium/consilium_core/reminders.py → remind_risk_acceptances()
consilium/www/escalation.py (portal page)
consilium/consilium_core/doctype/authority_delegation/authority_delegation.py (Authority Delegation)</t>
        </is>
      </c>
      <c r="I55" s="3" t="inlineStr">
        <is>
          <t>(d) Not implemented, wholly or in a mandatory clause</t>
        </is>
      </c>
      <c r="J55" s="3" t="inlineStr">
        <is>
          <t>escalation.tests.test_assignment_and_timing.TestSystemicRoute.* (all 2)
escalation.tests.test_assignment_and_timing.TestChallengeServiceLevel.* (all 3)
escalation.tests.test_portal_actions.TestReviewRounds.* (all 5)
escalation.tests.test_portal_actions.TestRiskAcceptanceApproval.* (all 9)
escalation.tests.test_resolution.TestRiskAcceptanceApproval.* (all 5)
escalation.tests.test_resolution.TestStatesAndClosure.test_closing_without_the_response_template_is_refused
consilium_core.tests.test_reminders.TestEscalationReminders.* (all 6)
consilium_core.tests.test_services.TestApprovals.test_a_delegate_decides_under_a_recorded_delegation</t>
        </is>
      </c>
      <c r="K55" s="2" t="inlineStr">
        <is>
          <t>✅ (what exists)</t>
        </is>
      </c>
      <c r="L55" s="3" t="inlineStr">
        <is>
          <t>ESC-2026-00015 systemic (R05-SYSTEMIC, role Head of Risk Governance), review round 1 Challenged against SLAC-00020 (ESC-CHALLENGE-SYSTEMIC, 40 h); RACC-00006 and RACC-00002 Pending Approval; RACC-00004 Approved by decision; RACC-00003 Approved by motion FMOT-2026-00021; RACC-00001 Expired; ADEL-00001 delegation over Risk Acceptance.</t>
        </is>
      </c>
    </row>
    <row r="56" ht="82" customHeight="1">
      <c r="A56" s="2" t="inlineStr">
        <is>
          <t>E-10</t>
        </is>
      </c>
      <c r="B56" s="3" t="inlineStr">
        <is>
          <t>ESC</t>
        </is>
      </c>
      <c r="C56" s="2" t="inlineStr">
        <is>
          <t>Mandatory</t>
        </is>
      </c>
      <c r="D56" s="3" t="inlineStr">
        <is>
          <t>The system shall enforce defined closure criteria and maintain auditable evidence of closure.</t>
        </is>
      </c>
      <c r="E56" s="3" t="inlineStr">
        <is>
          <t>Escalation Closure + Closure Criterion; gate on required criteria and on external reference for a transfer; recorded and closed from /escalation (record_matter_closure, close_matter, confirmation before closing); closer stamped as approver.</t>
        </is>
      </c>
      <c r="F56" s="3" t="inlineStr">
        <is>
          <t>/escalation?name=…</t>
        </is>
      </c>
      <c r="G56" s="3" t="inlineStr">
        <is>
          <t>/app/escalation-closure — Escalation workspace
/app/escalation-closure → 'Closure Criterion' table</t>
        </is>
      </c>
      <c r="H56" s="3" t="inlineStr">
        <is>
          <t>consilium/escalation/resolution.py → record_matter_closure()
consilium/escalation/resolution.py → close_matter()
consilium/www/escalation.py (portal page)
consilium/escalation/doctype/escalation_closure/escalation_closure.py (Escalation Closure)</t>
        </is>
      </c>
      <c r="I56" s="3" t="inlineStr">
        <is>
          <t>(a) Through a purpose-built portal screen</t>
        </is>
      </c>
      <c r="J56" s="3" t="inlineStr">
        <is>
          <t>escalation.tests.test_resolution.TestStatesAndClosure.* (all 7)
escalation.tests.test_portal_actions.TestClosure.* (all 5)</t>
        </is>
      </c>
      <c r="K56" s="2" t="inlineStr">
        <is>
          <t>✅</t>
        </is>
      </c>
      <c r="L56" s="3" t="inlineStr">
        <is>
          <t>ESCC-00003 ESC-2026-00006 Transferred Externally (EXTR-00005); ESCC-00004 ESC-2026-00011 Risk Accepted.</t>
        </is>
      </c>
    </row>
    <row r="57" ht="108" customHeight="1">
      <c r="A57" s="2" t="inlineStr">
        <is>
          <t>E-11</t>
        </is>
      </c>
      <c r="B57" s="3" t="inlineStr">
        <is>
          <t>ESC</t>
        </is>
      </c>
      <c r="C57" s="2" t="inlineStr">
        <is>
          <t>Mandatory</t>
        </is>
      </c>
      <c r="D57" s="3" t="inlineStr">
        <is>
          <t>The system shall generate reports directly, replacing manual periodic submissions, and shall support automated quarterly tracking and reporting, including automated reminders and a "no activity" confirmation workflow.</t>
        </is>
      </c>
      <c r="E57" s="3" t="inlineStr">
        <is>
          <t>Periodic Submission with the nil-return rule (desk); daily reminders.open_quarter creates the quarter's return once and tells its owner; remind_periodic_returns due and overdue; quarterly analysis and CSV on /reports (analysis.summary, analysis.export, period Quarter). Submission is a desk action by design (trace: CS-5, DK-5, BG).</t>
        </is>
      </c>
      <c r="F57" s="3" t="inlineStr">
        <is>
          <t>/reports</t>
        </is>
      </c>
      <c r="G57" s="3" t="inlineStr">
        <is>
          <t>/app/periodic-submission — Escalation workspace
desk button — consilium/governance/doctype/forum_meeting/forum_meeting.js</t>
        </is>
      </c>
      <c r="H57" s="3" t="inlineStr">
        <is>
          <t>consilium/consilium_core/reminders.py → open_quarter()
consilium/consilium_core/reminders.py → remind_periodic_returns()
consilium/escalation/analysis.py → summary()
consilium/escalation/analysis.py → export()
consilium/www/reports.py (portal page)
consilium/escalation/doctype/periodic_submission/periodic_submission.py (Periodic Submission)</t>
        </is>
      </c>
      <c r="I57" s="3" t="inlineStr">
        <is>
          <t>(b) Through the desk, configuration or a scheduled job — by design</t>
        </is>
      </c>
      <c r="J57" s="3" t="inlineStr">
        <is>
          <t>escalation.tests.test_entities.TestPeriodicSubmission.test_a_period_with_no_matters_must_be_a_nil_return
consilium_core.tests.test_reminders.TestEscalationReminders.test_a_quarter_opening_creates_its_return_once_and_tells_its_owner
consilium_core.tests.test_reminders.TestEscalationReminders.test_quarter_boundaries
escalation.tests.test_analysis.TestAnalysis.test_the_summary_is_exportable_as_csv</t>
        </is>
      </c>
      <c r="K57" s="2" t="inlineStr">
        <is>
          <t>✅</t>
        </is>
      </c>
      <c r="L57" s="3" t="inlineStr">
        <is>
          <t>ESPS-00001 2025-Q4 and ESPS-00002 2026-Q1 Accepted; ESPS-00003 2026-Q2 Submitted; ESPS-00004 2026-Q3 Draft (6 matters).</t>
        </is>
      </c>
    </row>
    <row r="58" ht="69" customHeight="1">
      <c r="A58" s="2" t="inlineStr">
        <is>
          <t>E-12</t>
        </is>
      </c>
      <c r="B58" s="3" t="inlineStr">
        <is>
          <t>ESC</t>
        </is>
      </c>
      <c r="C58" s="2" t="inlineStr">
        <is>
          <t>Mandatory</t>
        </is>
      </c>
      <c r="D58" s="3" t="inlineStr">
        <is>
          <t>The system shall track changes to escalation matters, maintain complete history, and log user actions with timestamp and attribution, retaining version history. Revert to a previous version shall be available to authorised users.</t>
        </is>
      </c>
      <c r="E58" s="3" t="inlineStr">
        <is>
          <t>consilium_core.revision.snapshot on every save (hooks doc_events); unified history (changes, comments, notifications) and a revision list with Revert (reason required, state and handling kept, closed matters refused) on /escalation; evidence-pack ZIP.</t>
        </is>
      </c>
      <c r="F58" s="3" t="inlineStr">
        <is>
          <t>/escalation?name=…</t>
        </is>
      </c>
      <c r="G58" s="3" t="inlineStr">
        <is>
          <t>/app/escalation-matter — Escalation workspace</t>
        </is>
      </c>
      <c r="H58" s="3" t="inlineStr">
        <is>
          <t>consilium/www/escalation.py (portal page)
consilium/consilium_core/revision.py (module under the cited tests)
consilium/escalation/doctype/escalation_matter/escalation_matter.py (Escalation Matter)</t>
        </is>
      </c>
      <c r="I58" s="3" t="inlineStr">
        <is>
          <t>(a) Through a purpose-built portal screen</t>
        </is>
      </c>
      <c r="J58" s="3" t="inlineStr">
        <is>
          <t>consilium_core.tests.test_revision.TestMatterRevision.* (all 13)
consilium_core.tests.test_core_controls_wave3.TestHistoryAndEvidencePack.* (all 4)
escalation.tests.test_entities.TestModuleShape.test_every_entity_tracks_changes</t>
        </is>
      </c>
      <c r="K58" s="2" t="inlineStr">
        <is>
          <t>✅</t>
        </is>
      </c>
      <c r="L58" s="3" t="inlineStr">
        <is>
          <t>30 matter versions on the demo (ESC-2026-00015 has 4, ESC-2026-00007 has 3).</t>
        </is>
      </c>
    </row>
    <row r="59" ht="147" customHeight="1">
      <c r="A59" s="2" t="inlineStr">
        <is>
          <t>E-13</t>
        </is>
      </c>
      <c r="B59" s="3" t="inlineStr">
        <is>
          <t>ESC</t>
        </is>
      </c>
      <c r="C59" s="2" t="inlineStr">
        <is>
          <t>Mandatory</t>
        </is>
      </c>
      <c r="D59" s="3" t="inlineStr">
        <is>
          <t>The system shall track service levels for workflow steps, status durations and total time-open, to support performance monitoring and oversight.</t>
        </is>
      </c>
      <c r="E59" s="3" t="inlineStr">
        <is>
          <t>Total time open per matrix rule (Core clock, business calendar, daily breach sweep that raises the matter); time in each status rebuilt from the change log and judged against Time In State definitions (timing.get_time_in_state, state_durations), kept live by the sla.on_subject_update hook and an hourly catch-up; warning at the configured percentage; second-line challenge clock. Shown on /escalation and /reports. Time To First Action is supported by sla.py but no definition is configured, so it is not shown.</t>
        </is>
      </c>
      <c r="F59" s="3" t="inlineStr">
        <is>
          <t>/escalation?name=…
/reports</t>
        </is>
      </c>
      <c r="G59" s="3" t="inlineStr">
        <is>
          <t>/app/sla-clock — Consilium Administration workspace
/app/escalation-matter — Escalation workspace</t>
        </is>
      </c>
      <c r="H59" s="3" t="inlineStr">
        <is>
          <t>consilium/escalation/timing.py → get_time_in_state()
consilium/consilium_core/sla.py → on_subject_update()
consilium/consilium_core/sla.py
consilium/www/escalation.py (portal page)
consilium/www/reports.py (portal page)
consilium/escalation/resolution.py (module under the cited tests)
consilium/consilium_core/doctype/sla_clock/sla_clock.py (SLA Clock)
consilium/escalation/doctype/escalation_matter/escalation_matter.py (Escalation Matter)</t>
        </is>
      </c>
      <c r="I59" s="3" t="inlineStr">
        <is>
          <t>(a) Through a purpose-built portal screen</t>
        </is>
      </c>
      <c r="J59" s="3" t="inlineStr">
        <is>
          <t>escalation.tests.test_assignment_and_timing.TestTimeInStatus.* (all 5)
consilium_core.tests.test_sla_measures.TestTimeInState.* (all 8)
consilium_core.tests.test_sla_measures.TestWarningsAndBreaches.* (all 7)
escalation.tests.test_resolution.TestServiceLevels.* (all 5)
escalation.tests.test_wave3_escalation.TestOnlyTheResolutionThresholdRaisesAMatter.* (all 2)
escalation.tests.test_regressions.TestBreachIsNotRepeated.* (all 2)</t>
        </is>
      </c>
      <c r="K59" s="2" t="inlineStr">
        <is>
          <t>✅</t>
        </is>
      </c>
      <c r="L59" s="3" t="inlineStr">
        <is>
          <t>ESC-HIGH, ESC-MEDIUM, ESC-LOW; ESC-STATE-OPEN, -PROGRESS, -REVIEW, -PENDING; SLAC-00011 ESC-2026-00007 breached 2026-07-31; SLAC-00032 and SLAC-00033 time-in-Open breaches on ESC-2026-00008 and 00010 (no severity raise).</t>
        </is>
      </c>
    </row>
    <row r="60" ht="121" customHeight="1">
      <c r="A60" s="2" t="inlineStr">
        <is>
          <t>E-14</t>
        </is>
      </c>
      <c r="B60" s="3" t="inlineStr">
        <is>
          <t>ESC</t>
        </is>
      </c>
      <c r="C60" s="2" t="inlineStr">
        <is>
          <t>Mandatory</t>
        </is>
      </c>
      <c r="D60" s="3" t="inlineStr">
        <is>
          <t>The system shall manage escalation lifecycle statuses, including at minimum Open, Under Review and Closed — tracked externally.</t>
        </is>
      </c>
      <c r="E60" s="3" t="inlineStr">
        <is>
          <t>Six configured states mapped to semantic flags (state_flag_seed.py, Workflow State Flag); externally-tracked closure needs the external reference; moved and closed on /escalation.</t>
        </is>
      </c>
      <c r="F60" s="3" t="inlineStr">
        <is>
          <t>/escalation?name=…</t>
        </is>
      </c>
      <c r="G60" s="3" t="inlineStr">
        <is>
          <t>/app/workflow-state-flag — Consilium Administration workspace</t>
        </is>
      </c>
      <c r="H60" s="3" t="inlineStr">
        <is>
          <t>consilium/escalation/state_flag_seed.py
consilium/consilium_core/setup/state_flag_seed.py
consilium/www/escalation.py (portal page)
consilium/consilium_core/doctype/workflow_state_flag/workflow_state_flag.py (Workflow State Flag)
consilium/escalation/resolution.py (module under the cited tests)
consilium/consilium_core/state_flags.py (module under the cited tests)</t>
        </is>
      </c>
      <c r="I60" s="3" t="inlineStr">
        <is>
          <t>(a) Through a purpose-built portal screen</t>
        </is>
      </c>
      <c r="J60" s="3" t="inlineStr">
        <is>
          <t>escalation.tests.test_resolution.TestStatesAndClosure.test_a_matter_moves_through_its_states
escalation.tests.test_resolution.TestStatesAndClosure.test_an_externally_tracked_closure_needs_its_external_reference
escalation.tests.test_portal_actions.TestStatus.* (all 4)
escalation.tests.test_portal_actions.TestClosure.test_closing_as_tracked_elsewhere_takes_the_closures_reference
consilium_core.tests.test_state_flags.TestStateFlags.* (all 7)</t>
        </is>
      </c>
      <c r="K60" s="2" t="inlineStr">
        <is>
          <t>✅</t>
        </is>
      </c>
      <c r="L60" s="3" t="inlineStr">
        <is>
          <t>Open ESC-2026-00008, 00010, 00012 … 00014; In Progress 00003, 00007; Under Review 00002, 00009, 00015; Pending Review 00004; Closed 00001, 00005, 00011; Closed — Tracked Externally 00006 (EXTR-00005).</t>
        </is>
      </c>
    </row>
    <row r="61" ht="108" customHeight="1">
      <c r="A61" s="2" t="inlineStr">
        <is>
          <t>E-15</t>
        </is>
      </c>
      <c r="B61" s="3" t="inlineStr">
        <is>
          <t>ESC</t>
        </is>
      </c>
      <c r="C61" s="2" t="inlineStr">
        <is>
          <t>Mandatory</t>
        </is>
      </c>
      <c r="D61" s="3" t="inlineStr">
        <is>
          <t>The system shall provide reporting and dashboards for oversight, monitoring and analysis of escalation matters — status, trends and performance — with filtering and aggregation by status, severity, risk type, governance forum and accountable executive; dashboards configurable for real-time and historical views including service-level progress, upcoming actions and recurring or systemic themes; and export for management, audit and regulatory needs.</t>
        </is>
      </c>
      <c r="E61" s="3" t="inlineStr">
        <is>
          <t>/reports escalation section: counts and bars by severity, type, level, age, breaches, appetite, review; analysis.summary (volumes, durations, destinations by forum, outcomes by month, quarter or year) with CSV analysis.export; /emerging-risks trends by tier-1 risk type and escalation type; register sortable by accountable executive and risk types, with Export CSV of the matching rows; desk report builder (DK-5) for any other grouping. All permission-filtered.</t>
        </is>
      </c>
      <c r="F61" s="3" t="inlineStr">
        <is>
          <t>/reports
/emerging-risks</t>
        </is>
      </c>
      <c r="G61" s="3" t="inlineStr">
        <is>
          <t>desk button — consilium/governance/doctype/forum_meeting/forum_meeting.js
/app/escalation-matter/view/report (framework report builder)</t>
        </is>
      </c>
      <c r="H61" s="3" t="inlineStr">
        <is>
          <t>consilium/escalation/analysis.py → summary()
consilium/escalation/analysis.py → export()
consilium/www/reports.py (portal page)
consilium/www/emerging_risks.py (portal page)</t>
        </is>
      </c>
      <c r="I61" s="3" t="inlineStr">
        <is>
          <t>(a) Through a purpose-built portal screen</t>
        </is>
      </c>
      <c r="J61" s="3" t="inlineStr">
        <is>
          <t>escalation.tests.test_analysis.TestAnalysis.* (all 5)
consilium_core.tests.test_ai_features.TestTrends.* (all 4)</t>
        </is>
      </c>
      <c r="K61" s="2" t="inlineStr">
        <is>
          <t>✅</t>
        </is>
      </c>
      <c r="L61" s="3" t="inlineStr">
        <is>
          <t>15 demo matters; /emerging-risks computes 42 series, 7 rising.</t>
        </is>
      </c>
    </row>
    <row r="62" ht="82" customHeight="1">
      <c r="A62" s="2" t="inlineStr">
        <is>
          <t>E-16</t>
        </is>
      </c>
      <c r="B62" s="3" t="inlineStr">
        <is>
          <t>ESC</t>
        </is>
      </c>
      <c r="C62" s="2" t="inlineStr">
        <is>
          <t>Mandatory</t>
        </is>
      </c>
      <c r="D62" s="3" t="inlineStr">
        <is>
          <t>The system shall provide role-based access for individuals and delegates, grouping users by role — escalator, accountable executive or governance forum, response owner, second line of defence, risk governance office — with responsibilities associated to each role, and shall flag and restrict access to escalations designated sensitive.</t>
        </is>
      </c>
      <c r="E62" s="3" t="inlineStr">
        <is>
          <t>has_permission and permission_query_conditions on the matter and its three child entities; role Sensitive Escalation Access; named people (response owner, accountable executive, raiser, members of its queue) see their own sensitive matter; the register, reports, analysis, assistant and AI features count only visible rows; only a cleared person may raise a sensitive matter.</t>
        </is>
      </c>
      <c r="F62" s="3" t="inlineStr">
        <is>
          <t>/escalations</t>
        </is>
      </c>
      <c r="G62" s="3" t="inlineStr">
        <is>
          <t>/app/escalation-matter — Escalation workspace</t>
        </is>
      </c>
      <c r="H62" s="3" t="inlineStr">
        <is>
          <t>consilium/escalation/sensitivity.py → has_permission()
consilium/escalation/doctype/escalation_matter/escalation_matter.py (Escalation Matter)</t>
        </is>
      </c>
      <c r="I62" s="3" t="inlineStr">
        <is>
          <t>(a) Through a purpose-built portal screen</t>
        </is>
      </c>
      <c r="J62" s="3" t="inlineStr">
        <is>
          <t>escalation.tests.test_sensitivity.TestSensitiveMatters.* (all 8)
escalation.tests.test_sensitivity.TestNamedPeopleSeeTheirSensitiveMatters.* (all 4)
escalation.tests.test_portal_actions.TestSensitiveMatter.* (all 3)
escalation.tests.test_entities.TestEscalationMatter.test_permissions</t>
        </is>
      </c>
      <c r="K62" s="2" t="inlineStr">
        <is>
          <t>✅</t>
        </is>
      </c>
      <c r="L62" s="3" t="inlineStr">
        <is>
          <t>ESC-2026-00003 and ESC-2026-00004 sensitive.</t>
        </is>
      </c>
    </row>
    <row r="63" ht="160" customHeight="1">
      <c r="A63" s="2" t="inlineStr">
        <is>
          <t>E-17</t>
        </is>
      </c>
      <c r="B63" s="3" t="inlineStr">
        <is>
          <t>ESC</t>
        </is>
      </c>
      <c r="C63" s="2" t="inlineStr">
        <is>
          <t>Mandatory</t>
        </is>
      </c>
      <c r="D63" s="3" t="inlineStr">
        <is>
          <t>The system shall send configurable, templated, automated notifications to users and groups across the escalation lifecycle.</t>
        </is>
      </c>
      <c r="E63" s="3" t="inlineStr">
        <is>
          <t>Every notice goes through notification.notify and an admin-editable Notification Template (12 escalation events: breach, material-entity impact, queued, action plan due and overdue, periodic return opened, due and overdue, risk acceptance expiring, expired, reassessment due and overdue); e-mail by SMTP (framework mail queue) or Microsoft Graph (app-only client credentials; token cached; 401 renews the token; 429, 503 and 504 retried per Retry-After), chosen in Admin → Integrations, with hourly retry and record channel fallback; recipients are named people, matrix user groups, queue members and pathway forum participants. Templates edited on desk (DK-7), sent by jobs and hooks (BG). A real mail relay or Graph tenant needs the target environment.</t>
        </is>
      </c>
      <c r="F63" s="3" t="inlineStr">
        <is>
          <t>— (no portal screen)</t>
        </is>
      </c>
      <c r="G63" s="3" t="inlineStr">
        <is>
          <t>/app/notification-template — Consilium Administration workspace</t>
        </is>
      </c>
      <c r="H63" s="3" t="inlineStr">
        <is>
          <t>consilium/consilium_core/notification.py → notify()
consilium/consilium_core/doctype/notification_template/notification_template.py (Notification Template)
consilium/consilium_core/setup/notification_templates.py (module under the cited tests)
consilium/consilium_core/integrations/graph_mail.py (module under the cited tests)</t>
        </is>
      </c>
      <c r="I63" s="3" t="inlineStr">
        <is>
          <t>(b) Through the desk, configuration or a scheduled job — by design</t>
        </is>
      </c>
      <c r="J63" s="3" t="inlineStr">
        <is>
          <t>consilium_core.tests.test_notification_templates.TestEventApi.* (all 10)
consilium_core.tests.test_notification_templates.TestTemplateFailures.* (all 5)
consilium_core.tests.test_notification_templates.TestEmailRetry.* (all 3)
consilium_core.tests.test_notification_templates.TestSeeding.* (all 2)
consilium_core.tests.test_graph_mail.TestTheWire.* (all 8)
consilium_core.tests.test_graph_mail.TestTheDispatchRecord.* (all 7)
consilium_core.tests.test_graph_mail.TestTheSettings.* (all 5)
escalation.tests.test_assignment_and_timing.TestAssignmentByGroup.test_the_queue_is_told_when_the_matter_enters_it
escalation.tests.test_participants.TestPathwayParticipants.test_a_breach_reaches_the_pathway_forums_people</t>
        </is>
      </c>
      <c r="K63" s="2" t="inlineStr">
        <is>
          <t>✅</t>
        </is>
      </c>
      <c r="L63" s="3" t="inlineStr">
        <is>
          <t>52 dispatches on Escalation Matter subjects; reminder log shows escalation.action_plan.overdue ×4, due_soon ×1.</t>
        </is>
      </c>
    </row>
    <row r="64" ht="147" customHeight="1">
      <c r="A64" s="2" t="inlineStr">
        <is>
          <t>E-18</t>
        </is>
      </c>
      <c r="B64" s="3" t="inlineStr">
        <is>
          <t>ESC</t>
        </is>
      </c>
      <c r="C64" s="2" t="inlineStr">
        <is>
          <t>Mandatory</t>
        </is>
      </c>
      <c r="D64" s="3" t="inlineStr">
        <is>
          <t>The system shall retain data and documents in accordance with the applicable retention policy and requirements, and shall hold documents and data in a write-once, read-many form for the duration of their retention period.</t>
        </is>
      </c>
      <c r="E64" s="3" t="inlineStr">
        <is>
          <t>As G-16: retention and legal-hold guards on every save and delete (wildcard doc_events); ESC-MATTER retention class; daily retention.flag_due_for_disposal schedules a disposal for review and flags held records. Gap: execute_disposition and release_hold are reachable only from code (no desk button, no endpoint); no retention assignment exists on the demo, so nothing is under retention.</t>
        </is>
      </c>
      <c r="F64" s="3" t="inlineStr">
        <is>
          <t>— (no portal screen)</t>
        </is>
      </c>
      <c r="G64" s="3" t="inlineStr">
        <is>
          <t>/app/archive-record — Consilium Administration workspace</t>
        </is>
      </c>
      <c r="H64" s="3" t="inlineStr">
        <is>
          <t>consilium/consilium_core/retention.py → flag_due_for_disposal()
consilium/consilium_core/retention.py → execute_disposition()
consilium/consilium_core/retention.py → release_hold()
consilium/consilium_core/retention.py → guard_modification()
consilium/consilium_core/retention.py → guard_deletion()
consilium/consilium_core/retention.py → retention_lock()
consilium/consilium_core/doctype/archive_record/archive_record.py (Archive Record)</t>
        </is>
      </c>
      <c r="I64" s="3" t="inlineStr">
        <is>
          <t>(c) Partly: the backend exists, but a step has no screen, is desk-only where a custom screen is called for, or is reachable only from code</t>
        </is>
      </c>
      <c r="J64" s="3" t="inlineStr">
        <is>
          <t>consilium_core.tests.test_retention.TestRetention.* (all 14)
consilium_core.tests.test_core_controls_wave3.TestScheduledDisposalReview.* (all 5)</t>
        </is>
      </c>
      <c r="K64" s="2" t="inlineStr">
        <is>
          <t>✅</t>
        </is>
      </c>
      <c r="L64" s="3" t="inlineStr">
        <is>
          <t>Retention class ESC-MATTER; 0 retention assignments, 0 legal holds, 0 disposition events.</t>
        </is>
      </c>
    </row>
    <row r="65" ht="225" customHeight="1">
      <c r="A65" s="2" t="inlineStr">
        <is>
          <t>E-19</t>
        </is>
      </c>
      <c r="B65" s="3" t="inlineStr">
        <is>
          <t>ESC</t>
        </is>
      </c>
      <c r="C65" s="2" t="inlineStr">
        <is>
          <t>Mandatory</t>
        </is>
      </c>
      <c r="D65" s="3" t="inlineStr">
        <is>
          <t>The system shall allow escalation matters to be created, updated and tracked consistently across risk, governance and issue-management platforms. Inbound: receive data from external systems — issue management, operational risk events, risk appetite monitoring — to create escalation matters with pre-populated data, with field mapping for completeness, consistency and traceability, and validation and handling rules for missing, invalid or incomplete information. Outbound: send escalation data to external systems for downstream tracking, resolution and reporting, with field mapping and maintained linkage, and synchronisation of status and key attributes where applicable. Governance alignment: select governance forums as pathways using authoritative forum data; link to related risk identifiers for end-to-end traceability; apply restricted handling to sensitive escalations. Technical: configurable methods and frequency; formats supported by both ends; identity platform integration for user selection, routing and notification; alignment to enterprise taxonomies with field mapping and handling rules.</t>
        </is>
      </c>
      <c r="E65" s="3" t="inlineStr">
        <is>
          <t>Inbound: /imports (CS-11) upload, review, exclude, revalidate, commit against profile IMPP-00002, with escalation.importing.attach_impacted_entities as the module preparer; a re-import of the same key updates. External Reference; related_risk_reference; forum selection in-database. Gap: outbound export (consilium_core.importing.export_records, Export Batch linkage register) has no screen or endpoint; it is reachable only from tests.</t>
        </is>
      </c>
      <c r="F65" s="3" t="inlineStr">
        <is>
          <t>/imports</t>
        </is>
      </c>
      <c r="G65" s="3" t="inlineStr">
        <is>
          <t>/app/external-reference
/app/export-batch — Consilium Administration workspace</t>
        </is>
      </c>
      <c r="H65" s="3" t="inlineStr">
        <is>
          <t>consilium/www/imports.py (portal page)
consilium/consilium_core/doctype/external_reference/external_reference.py (External Reference)
consilium/consilium_core/doctype/export_batch/export_batch.py (Export Batch)</t>
        </is>
      </c>
      <c r="I65" s="3" t="inlineStr">
        <is>
          <t>(c) Partly: the backend exists, but a step has no screen, is desk-only where a custom screen is called for, or is reachable only from code</t>
        </is>
      </c>
      <c r="J65" s="3" t="inlineStr">
        <is>
          <t>escalation.tests.test_import_export.TestImportPath.* (all 4)
consilium_core.tests.test_imports_portal.TestReview.test_a_module_preparer_runs_before_the_commit
consilium_core.tests.test_imports_portal.TestUpload.* (all 5)
consilium_core.tests.test_import_pipeline.TestImportPipeline.test_a_second_import_of_the_same_key_updates_rather_than_duplicates
consilium_core.tests.test_import_pipeline.TestImportPipeline.test_an_export_batch_records_what_left</t>
        </is>
      </c>
      <c r="K65" s="2" t="inlineStr">
        <is>
          <t>✅</t>
        </is>
      </c>
      <c r="L65" s="3" t="inlineStr">
        <is>
          <t>IMPB-00001 Validated against IMPP-00002; EXTR-00006 (RISK_REGISTER RAS-CRE-01) on ESC-2026-00007; 0 export batches.</t>
        </is>
      </c>
    </row>
    <row r="66" ht="82" customHeight="1">
      <c r="A66" s="2" t="inlineStr">
        <is>
          <t>O-1</t>
        </is>
      </c>
      <c r="B66" s="3" t="inlineStr">
        <is>
          <t>Supplementary</t>
        </is>
      </c>
      <c r="C66" s="2" t="inlineStr">
        <is>
          <t>Supplementary</t>
        </is>
      </c>
      <c r="D66" s="3" t="inlineStr">
        <is>
          <t>A home page carrying a user guide: how to set up a governance forum, definitions of each forum type and how to choose between them, templates (charters, meeting materials, reporting requirements), decision-making authority and escalation protocols.</t>
        </is>
      </c>
      <c r="E66" s="3" t="inlineStr">
        <is>
          <t>/ reads Guide Article (edited on desk), with built-in fallback text. Articles whose category has no card are still rendered. The help assistant on every page also answers from the illustrated guide chapters, citing them (administration chapters for administrators only). Gap: the create-forum wizard's guidance (CS-4 in the O-1 trace) is static page text, not Guide Article.</t>
        </is>
      </c>
      <c r="F66" s="3" t="inlineStr">
        <is>
          <t>/ (home)</t>
        </is>
      </c>
      <c r="G66" s="3" t="inlineStr">
        <is>
          <t>/app/guide-article — Consilium Administration workspace</t>
        </is>
      </c>
      <c r="H66" s="3" t="inlineStr">
        <is>
          <t>consilium/www/index.py (portal page)
consilium/consilium_core/doctype/guide_article/guide_article.py (Guide Article)</t>
        </is>
      </c>
      <c r="I66" s="3" t="inlineStr">
        <is>
          <t>(a) Through a purpose-built portal screen</t>
        </is>
      </c>
      <c r="J66" s="3" t="inlineStr">
        <is>
          <t>consilium_core.tests.test_w3_guides_core.TestGuideArticlesAreFoundWhereTheAssistantPoints.* (all 2)
consilium_core.tests.test_assistant.TestBuiltInAnswers.* (all 12)
consilium_core.tests.test_assistant.TestAdminDocumentation.* (all 2)
consilium_core.tests.test_portal_pages.TestAdministrator.test_every_page_renders_with_its_key_sections</t>
        </is>
      </c>
      <c r="K66" s="2" t="inlineStr">
        <is>
          <t>✅</t>
        </is>
      </c>
      <c r="L66" s="3" t="inlineStr">
        <is>
          <t>6 published articles: guide-getting-started, guide-forum-types, guide-templates, guide-decision-authority, guide-escalation-protocol, guide-policy-lifecycle.</t>
        </is>
      </c>
    </row>
    <row r="67" ht="69" customHeight="1">
      <c r="A67" s="2" t="inlineStr">
        <is>
          <t>O-2</t>
        </is>
      </c>
      <c r="B67" s="3" t="inlineStr">
        <is>
          <t>Supplementary</t>
        </is>
      </c>
      <c r="C67" s="2" t="inlineStr">
        <is>
          <t>Supplementary</t>
        </is>
      </c>
      <c r="D67" s="3" t="inlineStr">
        <is>
          <t>A view of governance interconnectivity between committees, councils and oversight bodies, rendered as a flow chart.</t>
        </is>
      </c>
      <c r="E67" s="3" t="inlineStr">
        <is>
          <t>Home page forum map (inventory.forum_map: every forum the viewer may read, with links only where both ends are readable). Forum page SVG (inventory.interconnectivity).</t>
        </is>
      </c>
      <c r="F67" s="3" t="inlineStr">
        <is>
          <t>— (no portal screen)</t>
        </is>
      </c>
      <c r="G67" s="3" t="inlineStr">
        <is>
          <t>/app/governance-forum — Governance workspace</t>
        </is>
      </c>
      <c r="H67" s="3" t="inlineStr">
        <is>
          <t>consilium/governance/inventory.py → forum_map()
consilium/governance/inventory.py → interconnectivity()
consilium/governance/doctype/governance_forum/governance_forum.py (Governance Forum)</t>
        </is>
      </c>
      <c r="I67" s="3" t="inlineStr">
        <is>
          <t>(a) Through a purpose-built portal screen</t>
        </is>
      </c>
      <c r="J67" s="3" t="inlineStr">
        <is>
          <t>governance.tests.test_governance_gaps.TestInventoryReads.test_the_map_draws_what_the_viewer_may_see
governance.tests.test_governance_gaps.TestPages.test_the_pages_render_with_their_new_sections
governance.tests.test_inventory.TestRelationships.* (all 2)</t>
        </is>
      </c>
      <c r="K67" s="2" t="inlineStr">
        <is>
          <t>✅</t>
        </is>
      </c>
      <c r="L67" s="3" t="inlineStr">
        <is>
          <t>All 14 forums and 15 links on /. FRM-2026-00005 Executive Risk Committee with two parents and five children on /forum.</t>
        </is>
      </c>
    </row>
    <row r="68" ht="82" customHeight="1">
      <c r="A68" s="2" t="inlineStr">
        <is>
          <t>O-3</t>
        </is>
      </c>
      <c r="B68" s="3" t="inlineStr">
        <is>
          <t>Supplementary</t>
        </is>
      </c>
      <c r="C68" s="2" t="inlineStr">
        <is>
          <t>Supplementary</t>
        </is>
      </c>
      <c r="D68" s="3" t="inlineStr">
        <is>
          <t>A customisable visual dashboard summarising forum activity, compliance status and gaps in governance coverage.</t>
        </is>
      </c>
      <c r="E68" s="3" t="inlineStr">
        <is>
          <t>/reports forum section plus the coverage-gap matrix (risk category by owning group, empty cells highlighted, forums or documents). /governance-gaps lists coverage gaps by rule. Missing: customisation. The viewer cannot choose, arrange or save what the dashboard shows; the only choice is the forums/documents switch on the matrix. The desk workspace ships no Dashboard Chart or Number Card.</t>
        </is>
      </c>
      <c r="F68" s="3" t="inlineStr">
        <is>
          <t>/reports
/governance-gaps</t>
        </is>
      </c>
      <c r="G68" s="3" t="inlineStr">
        <is>
          <t>—</t>
        </is>
      </c>
      <c r="H68" s="3" t="inlineStr">
        <is>
          <t>consilium/www/reports.py (portal page)
consilium/www/governance_gaps.py (portal page)</t>
        </is>
      </c>
      <c r="I68" s="3" t="inlineStr">
        <is>
          <t>(d) Not implemented, wholly or in a mandatory clause</t>
        </is>
      </c>
      <c r="J68" s="3" t="inlineStr">
        <is>
          <t>consilium_core.tests.test_ai_features.TestGaps.test_forum_policy_regulatory_and_coverage_gaps_are_found
consilium_core.tests.test_portal_pages.TestAdministrator.test_every_page_renders_with_its_key_sections</t>
        </is>
      </c>
      <c r="K68" s="2" t="inlineStr">
        <is>
          <t>✅ (gap rule and page render; the matrix is counted in the browser and not tested)</t>
        </is>
      </c>
      <c r="L68" s="3" t="inlineStr">
        <is>
          <t>As G-12.</t>
        </is>
      </c>
    </row>
    <row r="69" ht="173" customHeight="1">
      <c r="A69" s="2" t="inlineStr">
        <is>
          <t>O-4</t>
        </is>
      </c>
      <c r="B69" s="3" t="inlineStr">
        <is>
          <t>Supplementary</t>
        </is>
      </c>
      <c r="C69" s="2" t="inlineStr">
        <is>
          <t>Supplementary</t>
        </is>
      </c>
      <c r="D69" s="3" t="inlineStr">
        <is>
          <t>Automated notifications.</t>
        </is>
      </c>
      <c r="E69" s="3" t="inlineStr">
        <is>
          <t>Same as G-14.</t>
        </is>
      </c>
      <c r="F69" s="3" t="inlineStr">
        <is>
          <t>— (no portal screen)</t>
        </is>
      </c>
      <c r="G69" s="3" t="inlineStr">
        <is>
          <t>/app/notification-template — Consilium Administration workspace</t>
        </is>
      </c>
      <c r="H69" s="3" t="inlineStr">
        <is>
          <t>consilium/consilium_core/notification.py → notify()
consilium/governance/lifecycle.py → raise_disbandment()
consilium/consilium_core/doctype/notification_template/notification_template.py (Notification Template)
consilium/consilium_core/setup/notification_templates.py (module under the cited tests)
consilium/governance/formation.py (module under the cited tests)</t>
        </is>
      </c>
      <c r="I69" s="3" t="inlineStr">
        <is>
          <t>(d) Not implemented, wholly or in a mandatory clause</t>
        </is>
      </c>
      <c r="J69" s="3" t="inlineStr">
        <is>
          <t>governance.tests.test_wave3_governance.TestTemplatedNotices.* (all 3)
consilium_core.tests.test_notification_templates.TestSeeding.* (all 2)
consilium_core.tests.test_notification_templates.TestEventApi.* (all 10)
consilium_core.tests.test_notification_templates.TestTemplateFailures.* (all 5)
consilium_core.tests.test_notification_templates.TestEmailRetry.* (all 3)
consilium_core.tests.test_notification.TestNotification.* (all 6)
governance.tests.test_formation.TestReturnToOriginator.test_the_originator_is_notified
governance.tests.test_lifecycle.TestWatchedFields.test_compliance_is_notified_and_a_task_is_raised
governance.tests.test_governance_gaps.TestDisbandmentPortal.test_raising_names_g11s_approvers_and_asks_them</t>
        </is>
      </c>
      <c r="K69" s="2" t="inlineStr">
        <is>
          <t>✅ (what exists)</t>
        </is>
      </c>
      <c r="L69" s="3" t="inlineStr">
        <is>
          <t>As G-14.</t>
        </is>
      </c>
    </row>
    <row r="70" ht="95" customHeight="1">
      <c r="A70" s="2" t="inlineStr">
        <is>
          <t>O-5</t>
        </is>
      </c>
      <c r="B70" s="3" t="inlineStr">
        <is>
          <t>Supplementary</t>
        </is>
      </c>
      <c r="C70" s="2" t="inlineStr">
        <is>
          <t>Supplementary</t>
        </is>
      </c>
      <c r="D70" s="3" t="inlineStr">
        <is>
          <t>Escalation tracking and resolution within the forum module.</t>
        </is>
      </c>
      <c r="E70" s="3" t="inlineStr">
        <is>
          <t>/forum Escalations tab: "Escalations on this forum's pathway" (inventory.forum_escalations), with the forum's role, notified date and decision motion. It reads matters through the permitted list, so sensitive matters are shown only to cleared readers and never counted. Resolution happens on /escalation.</t>
        </is>
      </c>
      <c r="F70" s="3" t="inlineStr">
        <is>
          <t>/forum?name=…
/escalation?name=…</t>
        </is>
      </c>
      <c r="G70" s="3" t="inlineStr">
        <is>
          <t>/app/governance-forum — Governance workspace
/app/escalation-matter — Escalation workspace</t>
        </is>
      </c>
      <c r="H70" s="3" t="inlineStr">
        <is>
          <t>consilium/governance/inventory.py → forum_escalations()
consilium/www/forum.py (portal page)
consilium/www/escalation.py (portal page)
consilium/governance/doctype/governance_forum/governance_forum.py (Governance Forum)
consilium/escalation/doctype/escalation_matter/escalation_matter.py (Escalation Matter)</t>
        </is>
      </c>
      <c r="I70" s="3" t="inlineStr">
        <is>
          <t>(a) Through a purpose-built portal screen</t>
        </is>
      </c>
      <c r="J70" s="3" t="inlineStr">
        <is>
          <t>governance.tests.test_governance_gaps.TestForumEscalations.* (all 3)
governance.tests.test_governance_gaps.TestPages.test_the_pages_render_with_their_new_sections</t>
        </is>
      </c>
      <c r="K70" s="2" t="inlineStr">
        <is>
          <t>✅</t>
        </is>
      </c>
      <c r="L70" s="3" t="inlineStr">
        <is>
          <t>FRM-2026-00006 Operational Risk Committee has 8 pathway matters, including sensitive ESC-2026-00003 and ESC-2026-00004 (Decision).</t>
        </is>
      </c>
    </row>
    <row r="71" ht="173" customHeight="1">
      <c r="A71" s="2" t="inlineStr">
        <is>
          <t>O-6</t>
        </is>
      </c>
      <c r="B71" s="3" t="inlineStr">
        <is>
          <t>Supplementary</t>
        </is>
      </c>
      <c r="C71" s="2" t="inlineStr">
        <is>
          <t>Supplementary</t>
        </is>
      </c>
      <c r="D71" s="3" t="inlineStr">
        <is>
          <t>Real-time detection of governance gaps and impact assessment for policy changes.</t>
        </is>
      </c>
      <c r="E71" s="3" t="inlineStr">
        <is>
          <t>Rule-based first, no network: ai.gaps.detect (forum, policy, regulatory and coverage gaps; escalation types no rule names) on /governance-gaps; ai.impact.assess (lineage, applicability, regulation, forums, monitoring, violations, escalations, sections touched) in the Impact panel on /policy and /policy-impact. Optional AI commentary through one audited client (ai/client.py, shared with the help assistant) behind ai/guard.py: classification ceiling, sensitive and Restricted never sent, guidance-only tokens by default, analyst roles and hourly limit, every call an AI Service Request; off until an administrator sets endpoint and key in Admin → Integrations (Assistant Settings; request format "OpenAI-compatible API"; write-only key; Test connection); any failure falls back. Computed at page open over readable records.</t>
        </is>
      </c>
      <c r="F71" s="3" t="inlineStr">
        <is>
          <t>/governance-gaps
/policy?name=…
/policy-impact?name=…</t>
        </is>
      </c>
      <c r="G71" s="3" t="inlineStr">
        <is>
          <t>/app/ai-service-request
/app/assistant-settings</t>
        </is>
      </c>
      <c r="H71" s="3" t="inlineStr">
        <is>
          <t>consilium/consilium_core/ai/client.py
consilium/consilium_core/ai/guard.py
consilium/www/governance_gaps.py (portal page)
consilium/www/policy.py (portal page)
consilium/www/policy_impact.py (portal page)
consilium/consilium_core/doctype/ai_service_request/ai_service_request.py (AI Service Request)
consilium/consilium_core/doctype/assistant_settings/assistant_settings.py (Assistant Settings)</t>
        </is>
      </c>
      <c r="I71" s="3" t="inlineStr">
        <is>
          <t>(a) Through a purpose-built portal screen</t>
        </is>
      </c>
      <c r="J71" s="3" t="inlineStr">
        <is>
          <t>consilium_core.tests.test_ai_features.TestGaps.* (all 3)
consilium_core.tests.test_ai_features.TestImpact.* (all 11)
consilium_core.tests.test_ai_features.TestGuard.* (all 4)
consilium_core.tests.test_ai_features.TestClient.* (all 3)
consilium_core.tests.test_ai_features.TestPages.* (all 1)
consilium_core.tests.test_assistant.TestSettings.* (all 4)
consilium_core.tests.test_assistant.TestAIMode.* (all 8)
consilium_core.tests.test_integrations.TestIntegrationsPage.* (all 14)
consilium_core.tests.test_services.TestProvenance.* (all 4)</t>
        </is>
      </c>
      <c r="K71" s="2" t="inlineStr">
        <is>
          <t>✅ (automated tests use a stub endpoint; the live run is the demo site's request log)</t>
        </is>
      </c>
      <c r="L71" s="3" t="inlineStr">
        <is>
          <t>Connected on the demo site to an OpenAI-compatible provider, guidance-only, classification ceiling Internal: 20 AI Service Request rows, all Succeeded (17 help-assistant answers with citations, 3 governance-gap commentaries), each at Internal classification. /governance-gaps finds 75 gaps (28 High); impact of GDOC-00007 reaches 7 lineage records, 2 forums, 1 regulation.</t>
        </is>
      </c>
    </row>
    <row r="72" ht="147" customHeight="1">
      <c r="A72" s="2" t="inlineStr">
        <is>
          <t>O-7</t>
        </is>
      </c>
      <c r="B72" s="3" t="inlineStr">
        <is>
          <t>Supplementary</t>
        </is>
      </c>
      <c r="C72" s="2" t="inlineStr">
        <is>
          <t>Supplementary</t>
        </is>
      </c>
      <c r="D72" s="3" t="inlineStr">
        <is>
          <t>Real-time regulatory updates, predictive analytics for emerging risks and automated governance risk assessment.</t>
        </is>
      </c>
      <c r="E72" s="3" t="inlineStr">
        <is>
          <t>/regulatory-updates: recent changes, citing documents and forums, rule-based candidate documents and sections; record_change saves through the Regulatory Requirement controller, whose fan-out tells owners of citing documents and forums (P-6); file import through /imports with profile IMPP-00001 and policy.regulatory_import.prepare_changes, same fan-out; optional AI suggestions recorded and applied only on a person's accept (decide, AI Suggestion Acceptance with version). /emerging-risks: trends (slope, z-score) and leading indicators over escalations, violations, monitoring and SLA breaches. Governance risk scores with configurable weights on /governance-gaps (ai.scoring.assess). Same guard and client as O-6.</t>
        </is>
      </c>
      <c r="F72" s="3" t="inlineStr">
        <is>
          <t>/regulatory-updates
/imports
/emerging-risks
/governance-gaps</t>
        </is>
      </c>
      <c r="G72" s="3" t="inlineStr">
        <is>
          <t>/app/regulatory-requirement — Consilium Administration workspace
/app/ai-suggestion-acceptance
desk button — consilium/governance/doctype/forum_meeting/forum_meeting.js</t>
        </is>
      </c>
      <c r="H72" s="3" t="inlineStr">
        <is>
          <t>consilium/consilium_core/ai/regulatory.py → record_change()
consilium/consilium_core/ai/regulatory.py → decide()
consilium/www/regulatory_updates.py (portal page)
consilium/www/imports.py (portal page)
consilium/www/emerging_risks.py (portal page)
consilium/www/governance_gaps.py (portal page)
consilium/consilium_core/doctype/regulatory_requirement/regulatory_requirement.py (Regulatory Requirement)
consilium/consilium_core/doctype/ai_suggestion_acceptance/ai_suggestion_acceptance.py (AI Suggestion Acceptance)</t>
        </is>
      </c>
      <c r="I72" s="3" t="inlineStr">
        <is>
          <t>(a) Through a purpose-built portal screen</t>
        </is>
      </c>
      <c r="J72" s="3" t="inlineStr">
        <is>
          <t>consilium_core.tests.test_ai_features.TestRegulatory.* (all 8)
consilium_core.tests.test_ai_features.TestTrends.* (all 4)
consilium_core.tests.test_ai_features.TestScoring.* (all 3)
consilium_core.tests.test_ai_features.TestPages.* (all 1)
consilium_core.tests.test_regulatory_change.TestRegulatoryChangeFanOut.* (all 6)
consilium_core.tests.test_integrations.TestHorizonScanning.* (all 3)</t>
        </is>
      </c>
      <c r="K72" s="2" t="inlineStr">
        <is>
          <t>✅ (AI suggestions tested against a stub endpoint only)</t>
        </is>
      </c>
      <c r="L72" s="3" t="inlineStr">
        <is>
          <t>REQ_OP_RESILIENCE changed 2026-09-18, cited by GDOC-00007, owner notified; 12 requirements; /emerging-risks 7 rising series, 7 indicators; scores for 13 forums and 14 policies. The AI endpoint is connected (see O-6), but no regulatory suggestion has been requested through it on the demo site. The horizon-scanning platform is reached through /horizon-scanning.</t>
        </is>
      </c>
    </row>
  </sheetData>
  <conditionalFormatting sqref="I2:I72">
    <cfRule type="expression" priority="1" dxfId="0" stopIfTrue="1">
      <formula>ISNUMBER(SEARCH("(a)",I2))</formula>
    </cfRule>
    <cfRule type="expression" priority="2" dxfId="1" stopIfTrue="1">
      <formula>ISNUMBER(SEARCH("(b)",I2))</formula>
    </cfRule>
    <cfRule type="expression" priority="3" dxfId="2" stopIfTrue="1">
      <formula>ISNUMBER(SEARCH("(c)",I2))</formula>
    </cfRule>
    <cfRule type="expression" priority="4" dxfId="3" stopIfTrue="1">
      <formula>ISNUMBER(SEARCH("(d)",I2))</formula>
    </cfRule>
  </conditionalFormatting>
  <conditionalFormatting sqref="K2:K72">
    <cfRule type="expression" priority="5" dxfId="3" stopIfTrue="1">
      <formula>ISNUMBER(SEARCH("❌",K2))</formula>
    </cfRule>
    <cfRule type="expression" priority="6" dxfId="2" stopIfTrue="1">
      <formula>ISNUMBER(SEARCH("⚠",K2))</formula>
    </cfRule>
    <cfRule type="expression" priority="7" dxfId="4" stopIfTrue="1">
      <formula>ISNUMBER(SEARCH("✅ (",K2))</formula>
    </cfRule>
    <cfRule type="expression" priority="8" dxfId="0" stopIfTrue="1">
      <formula>ISNUMBER(SEARCH("✅",K2))</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S55"/>
  <sheetViews>
    <sheetView showGridLines="0" workbookViewId="0">
      <selection activeCell="A1" sqref="A1"/>
    </sheetView>
  </sheetViews>
  <sheetFormatPr baseColWidth="8" defaultRowHeight="15"/>
  <cols>
    <col width="40" customWidth="1" min="1" max="1"/>
    <col width="14" customWidth="1" min="2" max="2"/>
    <col width="15" customWidth="1" min="3" max="3"/>
    <col width="14" customWidth="1" min="4" max="4"/>
    <col width="14" customWidth="1" min="5" max="5"/>
    <col width="10" customWidth="1" min="6" max="6"/>
    <col width="3" customWidth="1" min="7" max="7"/>
    <col width="9" customWidth="1" min="8" max="8"/>
    <col width="9" customWidth="1" min="9" max="9"/>
    <col width="9" customWidth="1" min="10" max="10"/>
    <col width="9" customWidth="1" min="11" max="11"/>
    <col width="9" customWidth="1" min="12" max="12"/>
    <col width="12" customWidth="1" min="13" max="13"/>
    <col width="8" customWidth="1" min="15" max="15"/>
    <col width="8" customWidth="1" min="16" max="16"/>
    <col width="8" customWidth="1" min="17" max="17"/>
    <col width="8" customWidth="1" min="18" max="18"/>
    <col width="8" customWidth="1" min="19" max="19"/>
  </cols>
  <sheetData>
    <row r="1">
      <c r="A1" s="4" t="inlineStr">
        <is>
          <t>Consilium — requirements coverage</t>
        </is>
      </c>
    </row>
    <row r="3">
      <c r="A3" s="5" t="inlineStr">
        <is>
          <t>Generated on</t>
        </is>
      </c>
      <c r="B3" s="6" t="inlineStr">
        <is>
          <t>2026-09-18 13:07</t>
        </is>
      </c>
    </row>
    <row r="4">
      <c r="A4" s="5" t="inlineStr">
        <is>
          <t>Measured on (per source)</t>
        </is>
      </c>
      <c r="B4" s="6" t="inlineStr">
        <is>
          <t>2026-09-18</t>
        </is>
      </c>
    </row>
    <row r="5">
      <c r="A5" s="5" t="inlineStr">
        <is>
          <t>Source</t>
        </is>
      </c>
      <c r="B5" s="6" t="inlineStr">
        <is>
          <t>docs/delivery/REQUIREMENTS-COVERAGE.md (matrix); docs/product/01-requirements-baseline.md (statements); docs/delivery/EPICS.md (stories)</t>
        </is>
      </c>
    </row>
    <row r="6">
      <c r="A6" s="5" t="inlineStr">
        <is>
          <t>Git commit</t>
        </is>
      </c>
      <c r="B6" s="6" t="inlineStr">
        <is>
          <t>9abaca6 (2026-09-18) — working tree has uncommitted changes</t>
        </is>
      </c>
    </row>
    <row r="7">
      <c r="A7" s="5" t="inlineStr">
        <is>
          <t>Coverage source state</t>
        </is>
      </c>
      <c r="B7" s="6" t="inlineStr">
        <is>
          <t>modified since last commit; sha256 14f9838e73e092bc…</t>
        </is>
      </c>
    </row>
    <row r="8">
      <c r="A8" s="5" t="inlineStr">
        <is>
          <t>Test run (per source)</t>
        </is>
      </c>
      <c r="B8" s="6" t="inlineStr">
        <is>
          <t>Ran 1453 tests, OK — 1453 passed, 0 failed</t>
        </is>
      </c>
    </row>
    <row r="9">
      <c r="A9" s="5" t="inlineStr">
        <is>
          <t>Generator</t>
        </is>
      </c>
      <c r="B9" s="6" t="inlineStr">
        <is>
          <t>scripts/coverage_to_xlsx.py — regenerate after editing the Markdown; do not hand-edit</t>
        </is>
      </c>
    </row>
    <row r="11">
      <c r="A11" s="7" t="inlineStr">
        <is>
          <t>Reachability class by module (live formulas over 'All requirements')</t>
        </is>
      </c>
      <c r="H11" s="7" t="inlineStr">
        <is>
          <t>As stated in the source's §2 summary</t>
        </is>
      </c>
    </row>
    <row r="12">
      <c r="A12" s="1" t="inlineStr">
        <is>
          <t>Module</t>
        </is>
      </c>
      <c r="B12" s="8" t="inlineStr">
        <is>
          <t>(a) Portal</t>
        </is>
      </c>
      <c r="C12" s="9" t="inlineStr">
        <is>
          <t>(b) Desk/config</t>
        </is>
      </c>
      <c r="D12" s="10" t="inlineStr">
        <is>
          <t>(c) Partly</t>
        </is>
      </c>
      <c r="E12" s="11" t="inlineStr">
        <is>
          <t>(d) Not impl.</t>
        </is>
      </c>
      <c r="F12" s="1" t="inlineStr">
        <is>
          <t>Total</t>
        </is>
      </c>
      <c r="H12" s="1" t="inlineStr">
        <is>
          <t>a</t>
        </is>
      </c>
      <c r="I12" s="1" t="inlineStr">
        <is>
          <t>b</t>
        </is>
      </c>
      <c r="J12" s="1" t="inlineStr">
        <is>
          <t>c</t>
        </is>
      </c>
      <c r="K12" s="1" t="inlineStr">
        <is>
          <t>d</t>
        </is>
      </c>
      <c r="L12" s="1" t="inlineStr">
        <is>
          <t>Total</t>
        </is>
      </c>
      <c r="M12" s="1" t="inlineStr">
        <is>
          <t>Agrees?</t>
        </is>
      </c>
      <c r="O12" s="12" t="inlineStr">
        <is>
          <t>Chart data</t>
        </is>
      </c>
      <c r="P12" s="12" t="inlineStr">
        <is>
          <t>(a)</t>
        </is>
      </c>
      <c r="Q12" s="12" t="inlineStr">
        <is>
          <t>(b)</t>
        </is>
      </c>
      <c r="R12" s="12" t="inlineStr">
        <is>
          <t>(c)</t>
        </is>
      </c>
      <c r="S12" s="12" t="inlineStr">
        <is>
          <t>(d)</t>
        </is>
      </c>
    </row>
    <row r="13">
      <c r="A13" s="13" t="inlineStr">
        <is>
          <t>CGF — Governance</t>
        </is>
      </c>
      <c r="B13" s="14">
        <f>COUNTIFS('All requirements'!$B$2:$B$500,"CGF",'All requirements'!$H$2:$H$500,"a")</f>
        <v/>
      </c>
      <c r="C13" s="14">
        <f>COUNTIFS('All requirements'!$B$2:$B$500,"CGF",'All requirements'!$H$2:$H$500,"b")</f>
        <v/>
      </c>
      <c r="D13" s="14">
        <f>COUNTIFS('All requirements'!$B$2:$B$500,"CGF",'All requirements'!$H$2:$H$500,"c")</f>
        <v/>
      </c>
      <c r="E13" s="14">
        <f>COUNTIFS('All requirements'!$B$2:$B$500,"CGF",'All requirements'!$H$2:$H$500,"d")</f>
        <v/>
      </c>
      <c r="F13" s="14">
        <f>COUNTIFS('All requirements'!$B$2:$B$500,"CGF")</f>
        <v/>
      </c>
      <c r="H13" s="14" t="n">
        <v>11</v>
      </c>
      <c r="I13" s="14" t="n">
        <v>1</v>
      </c>
      <c r="J13" s="14" t="n">
        <v>4</v>
      </c>
      <c r="K13" s="14" t="n">
        <v>3</v>
      </c>
      <c r="L13" s="14" t="n">
        <v>19</v>
      </c>
      <c r="M13" s="14">
        <f>IF(COUNT(H13:L13)=0,"not stated",IF(AND(B13=H13,C13=I13,D13=J13,E13=K13,F13=L13),"Yes","NO"))</f>
        <v/>
      </c>
      <c r="O13" s="12" t="inlineStr">
        <is>
          <t>CGF</t>
        </is>
      </c>
      <c r="P13" s="12">
        <f>B13</f>
        <v/>
      </c>
      <c r="Q13" s="12">
        <f>C13</f>
        <v/>
      </c>
      <c r="R13" s="12">
        <f>D13</f>
        <v/>
      </c>
      <c r="S13" s="12">
        <f>E13</f>
        <v/>
      </c>
    </row>
    <row r="14">
      <c r="A14" s="13" t="inlineStr">
        <is>
          <t>POL — Policy</t>
        </is>
      </c>
      <c r="B14" s="14">
        <f>COUNTIFS('All requirements'!$B$2:$B$500,"POL",'All requirements'!$H$2:$H$500,"a")</f>
        <v/>
      </c>
      <c r="C14" s="14">
        <f>COUNTIFS('All requirements'!$B$2:$B$500,"POL",'All requirements'!$H$2:$H$500,"b")</f>
        <v/>
      </c>
      <c r="D14" s="14">
        <f>COUNTIFS('All requirements'!$B$2:$B$500,"POL",'All requirements'!$H$2:$H$500,"c")</f>
        <v/>
      </c>
      <c r="E14" s="14">
        <f>COUNTIFS('All requirements'!$B$2:$B$500,"POL",'All requirements'!$H$2:$H$500,"d")</f>
        <v/>
      </c>
      <c r="F14" s="14">
        <f>COUNTIFS('All requirements'!$B$2:$B$500,"POL")</f>
        <v/>
      </c>
      <c r="H14" s="14" t="n">
        <v>19</v>
      </c>
      <c r="I14" s="14" t="n">
        <v>3</v>
      </c>
      <c r="J14" s="14" t="n">
        <v>3</v>
      </c>
      <c r="K14" s="14" t="n">
        <v>1</v>
      </c>
      <c r="L14" s="14" t="n">
        <v>26</v>
      </c>
      <c r="M14" s="14">
        <f>IF(COUNT(H14:L14)=0,"not stated",IF(AND(B14=H14,C14=I14,D14=J14,E14=K14,F14=L14),"Yes","NO"))</f>
        <v/>
      </c>
      <c r="O14" s="12" t="inlineStr">
        <is>
          <t>POL</t>
        </is>
      </c>
      <c r="P14" s="12">
        <f>B14</f>
        <v/>
      </c>
      <c r="Q14" s="12">
        <f>C14</f>
        <v/>
      </c>
      <c r="R14" s="12">
        <f>D14</f>
        <v/>
      </c>
      <c r="S14" s="12">
        <f>E14</f>
        <v/>
      </c>
    </row>
    <row r="15">
      <c r="A15" s="13" t="inlineStr">
        <is>
          <t>ESC — Escalation</t>
        </is>
      </c>
      <c r="B15" s="14">
        <f>COUNTIFS('All requirements'!$B$2:$B$500,"ESC",'All requirements'!$H$2:$H$500,"a")</f>
        <v/>
      </c>
      <c r="C15" s="14">
        <f>COUNTIFS('All requirements'!$B$2:$B$500,"ESC",'All requirements'!$H$2:$H$500,"b")</f>
        <v/>
      </c>
      <c r="D15" s="14">
        <f>COUNTIFS('All requirements'!$B$2:$B$500,"ESC",'All requirements'!$H$2:$H$500,"c")</f>
        <v/>
      </c>
      <c r="E15" s="14">
        <f>COUNTIFS('All requirements'!$B$2:$B$500,"ESC",'All requirements'!$H$2:$H$500,"d")</f>
        <v/>
      </c>
      <c r="F15" s="14">
        <f>COUNTIFS('All requirements'!$B$2:$B$500,"ESC")</f>
        <v/>
      </c>
      <c r="H15" s="14" t="n">
        <v>13</v>
      </c>
      <c r="I15" s="14" t="n">
        <v>2</v>
      </c>
      <c r="J15" s="14" t="n">
        <v>2</v>
      </c>
      <c r="K15" s="14" t="n">
        <v>2</v>
      </c>
      <c r="L15" s="14" t="n">
        <v>19</v>
      </c>
      <c r="M15" s="14">
        <f>IF(COUNT(H15:L15)=0,"not stated",IF(AND(B15=H15,C15=I15,D15=J15,E15=K15,F15=L15),"Yes","NO"))</f>
        <v/>
      </c>
      <c r="O15" s="12" t="inlineStr">
        <is>
          <t>ESC</t>
        </is>
      </c>
      <c r="P15" s="12">
        <f>B15</f>
        <v/>
      </c>
      <c r="Q15" s="12">
        <f>C15</f>
        <v/>
      </c>
      <c r="R15" s="12">
        <f>D15</f>
        <v/>
      </c>
      <c r="S15" s="12">
        <f>E15</f>
        <v/>
      </c>
    </row>
    <row r="16">
      <c r="A16" s="15" t="inlineStr">
        <is>
          <t>Mandatory total</t>
        </is>
      </c>
      <c r="B16" s="16">
        <f>COUNTIFS('All requirements'!$C$2:$C$500,"Mandatory",'All requirements'!$H$2:$H$500,"a")</f>
        <v/>
      </c>
      <c r="C16" s="16">
        <f>COUNTIFS('All requirements'!$C$2:$C$500,"Mandatory",'All requirements'!$H$2:$H$500,"b")</f>
        <v/>
      </c>
      <c r="D16" s="16">
        <f>COUNTIFS('All requirements'!$C$2:$C$500,"Mandatory",'All requirements'!$H$2:$H$500,"c")</f>
        <v/>
      </c>
      <c r="E16" s="16">
        <f>COUNTIFS('All requirements'!$C$2:$C$500,"Mandatory",'All requirements'!$H$2:$H$500,"d")</f>
        <v/>
      </c>
      <c r="F16" s="16">
        <f>COUNTIFS('All requirements'!$C$2:$C$500,"Mandatory")</f>
        <v/>
      </c>
      <c r="H16" s="16" t="n">
        <v>43</v>
      </c>
      <c r="I16" s="16" t="n">
        <v>6</v>
      </c>
      <c r="J16" s="16" t="n">
        <v>9</v>
      </c>
      <c r="K16" s="16" t="n">
        <v>6</v>
      </c>
      <c r="L16" s="16" t="n">
        <v>64</v>
      </c>
      <c r="M16" s="16">
        <f>IF(COUNT(H16:L16)=0,"not stated",IF(AND(B16=H16,C16=I16,D16=J16,E16=K16,F16=L16),"Yes","NO"))</f>
        <v/>
      </c>
      <c r="O16" s="12" t="inlineStr">
        <is>
          <t>Supplementary</t>
        </is>
      </c>
      <c r="P16" s="12">
        <f>B17</f>
        <v/>
      </c>
      <c r="Q16" s="12">
        <f>C17</f>
        <v/>
      </c>
      <c r="R16" s="12">
        <f>D17</f>
        <v/>
      </c>
      <c r="S16" s="12">
        <f>E17</f>
        <v/>
      </c>
    </row>
    <row r="17">
      <c r="A17" s="13" t="inlineStr">
        <is>
          <t>Supplementary (O-…)</t>
        </is>
      </c>
      <c r="B17" s="14">
        <f>COUNTIFS('All requirements'!$B$2:$B$500,"Supplementary",'All requirements'!$H$2:$H$500,"a")</f>
        <v/>
      </c>
      <c r="C17" s="14">
        <f>COUNTIFS('All requirements'!$B$2:$B$500,"Supplementary",'All requirements'!$H$2:$H$500,"b")</f>
        <v/>
      </c>
      <c r="D17" s="14">
        <f>COUNTIFS('All requirements'!$B$2:$B$500,"Supplementary",'All requirements'!$H$2:$H$500,"c")</f>
        <v/>
      </c>
      <c r="E17" s="14">
        <f>COUNTIFS('All requirements'!$B$2:$B$500,"Supplementary",'All requirements'!$H$2:$H$500,"d")</f>
        <v/>
      </c>
      <c r="F17" s="14">
        <f>COUNTIFS('All requirements'!$B$2:$B$500,"Supplementary")</f>
        <v/>
      </c>
      <c r="H17" s="14" t="n">
        <v>5</v>
      </c>
      <c r="I17" s="14" t="n">
        <v>0</v>
      </c>
      <c r="J17" s="14" t="n">
        <v>0</v>
      </c>
      <c r="K17" s="14" t="n">
        <v>2</v>
      </c>
      <c r="L17" s="14" t="n">
        <v>7</v>
      </c>
      <c r="M17" s="14">
        <f>IF(COUNT(H17:L17)=0,"not stated",IF(AND(B17=H17,C17=I17,D17=J17,E17=K17,F17=L17),"Yes","NO"))</f>
        <v/>
      </c>
    </row>
    <row r="18">
      <c r="A18" s="12" t="inlineStr">
        <is>
          <t>Left: computed from the rows. Right: typed in the source's summary table and copied here as-is, so a stale summary in the Markdown shows up as 'NO'.</t>
        </is>
      </c>
    </row>
    <row r="20">
      <c r="A20" s="7" t="inlineStr">
        <is>
          <t>Test evidence</t>
        </is>
      </c>
    </row>
    <row r="21">
      <c r="A21" s="1" t="inlineStr">
        <is>
          <t>Evidence</t>
        </is>
      </c>
      <c r="B21" s="1" t="inlineStr">
        <is>
          <t>Mandatory</t>
        </is>
      </c>
      <c r="C21" s="1" t="inlineStr">
        <is>
          <t>Supplementary</t>
        </is>
      </c>
      <c r="D21" s="1" t="inlineStr">
        <is>
          <t>All</t>
        </is>
      </c>
    </row>
    <row r="22">
      <c r="A22" s="17" t="inlineStr">
        <is>
          <t>At least one direct test, all passing</t>
        </is>
      </c>
      <c r="B22" s="14">
        <f>COUNTIFS('All requirements'!$C$2:$C$500,"Mandatory",'All requirements'!$N$2:$N$500,"Direct test")</f>
        <v/>
      </c>
      <c r="C22" s="14">
        <f>COUNTIFS('All requirements'!$B$2:$B$500,"Supplementary",'All requirements'!$N$2:$N$500,"Direct test")</f>
        <v/>
      </c>
      <c r="D22" s="14">
        <f>COUNTIFS('All requirements'!$N$2:$N$500,"Direct test")</f>
        <v/>
      </c>
    </row>
    <row r="23">
      <c r="A23" s="17" t="inlineStr">
        <is>
          <t>No direct test</t>
        </is>
      </c>
      <c r="B23" s="14">
        <f>COUNTIFS('All requirements'!$C$2:$C$500,"Mandatory",'All requirements'!$N$2:$N$500,"No direct test")</f>
        <v/>
      </c>
      <c r="C23" s="14">
        <f>COUNTIFS('All requirements'!$B$2:$B$500,"Supplementary",'All requirements'!$N$2:$N$500,"No direct test")</f>
        <v/>
      </c>
      <c r="D23" s="14">
        <f>COUNTIFS('All requirements'!$N$2:$N$500,"No direct test")</f>
        <v/>
      </c>
    </row>
    <row r="24">
      <c r="A24" s="17" t="inlineStr">
        <is>
          <t>Failing tests</t>
        </is>
      </c>
      <c r="B24" s="14">
        <f>COUNTIFS('All requirements'!$C$2:$C$500,"Mandatory",'All requirements'!$N$2:$N$500,"Failing test")</f>
        <v/>
      </c>
      <c r="C24" s="14">
        <f>COUNTIFS('All requirements'!$B$2:$B$500,"Supplementary",'All requirements'!$N$2:$N$500,"Failing test")</f>
        <v/>
      </c>
      <c r="D24" s="14">
        <f>COUNTIFS('All requirements'!$N$2:$N$500,"Failing test")</f>
        <v/>
      </c>
    </row>
    <row r="25">
      <c r="A25" s="13" t="inlineStr">
        <is>
          <t>…of which the pass is qualified (e.g. 'engine only')</t>
        </is>
      </c>
      <c r="B25" s="14">
        <f>COUNTIFS('All requirements'!$C$2:$C$500,"Mandatory",'All requirements'!$L$2:$L$500,"Pass (qualified)")</f>
        <v/>
      </c>
      <c r="C25" s="14">
        <f>COUNTIFS('All requirements'!$B$2:$B$500,"Supplementary",'All requirements'!$L$2:$L$500,"Pass (qualified)")</f>
        <v/>
      </c>
      <c r="D25" s="14">
        <f>COUNTIFS('All requirements'!$L$2:$L$500,"Pass (qualified)")</f>
        <v/>
      </c>
    </row>
    <row r="26">
      <c r="A26" s="12" t="inlineStr">
        <is>
          <t>Suite as measured: 1453 test methods run, outcome OK (typed from the source's Method section). A passing test proves only the part of a requirement it exercises.</t>
        </is>
      </c>
    </row>
    <row r="28">
      <c r="A28" s="7" t="inlineStr">
        <is>
          <t>Backlog stories by status (live formulas over 'Epics')</t>
        </is>
      </c>
    </row>
    <row r="29">
      <c r="A29" s="1" t="inlineStr">
        <is>
          <t>Status</t>
        </is>
      </c>
      <c r="B29" s="1" t="inlineStr">
        <is>
          <t>Stories</t>
        </is>
      </c>
    </row>
    <row r="30">
      <c r="A30" s="18" t="inlineStr">
        <is>
          <t>Done</t>
        </is>
      </c>
      <c r="B30" s="14">
        <f>COUNTIFS('Epics'!$F$2:$F$1000,"Done*")</f>
        <v/>
      </c>
    </row>
    <row r="31">
      <c r="A31" s="19" t="inlineStr">
        <is>
          <t>Partial</t>
        </is>
      </c>
      <c r="B31" s="14">
        <f>COUNTIFS('Epics'!$F$2:$F$1000,"Partial*")</f>
        <v/>
      </c>
    </row>
    <row r="32">
      <c r="A32" s="20" t="inlineStr">
        <is>
          <t>In progress</t>
        </is>
      </c>
      <c r="B32" s="14">
        <f>COUNTIFS('Epics'!$F$2:$F$1000,"In progress*")</f>
        <v/>
      </c>
    </row>
    <row r="33">
      <c r="A33" s="21" t="inlineStr">
        <is>
          <t>Not started</t>
        </is>
      </c>
      <c r="B33" s="14">
        <f>COUNTIFS('Epics'!$F$2:$F$1000,"Not started*")</f>
        <v/>
      </c>
    </row>
    <row r="34">
      <c r="A34" s="13" t="inlineStr">
        <is>
          <t>Blocked</t>
        </is>
      </c>
      <c r="B34" s="14">
        <f>COUNTIFS('Epics'!$F$2:$F$1000,"Blocked*")</f>
        <v/>
      </c>
    </row>
    <row r="35">
      <c r="A35" s="13" t="inlineStr">
        <is>
          <t>No status recorded</t>
        </is>
      </c>
      <c r="B35" s="14">
        <f>COUNTIFS('Epics'!$A$2:$A$1000,"E*",'Epics'!$F$2:$F$1000,"")</f>
        <v/>
      </c>
    </row>
    <row r="36">
      <c r="A36" s="22" t="inlineStr">
        <is>
          <t>Total</t>
        </is>
      </c>
      <c r="B36" s="23">
        <f>COUNTIFS('Epics'!$A$2:$A$1000,"E*")</f>
        <v/>
      </c>
    </row>
    <row r="38">
      <c r="A38" s="7" t="inlineStr">
        <is>
          <t>Legend</t>
        </is>
      </c>
    </row>
    <row r="39" ht="30" customHeight="1">
      <c r="A39" s="24" t="inlineStr">
        <is>
          <t>Class a</t>
        </is>
      </c>
      <c r="B39" s="25" t="inlineStr">
        <is>
          <t>Reachable through a purpose-built portal screen: the CS screens the trace names exist and do their part. Desk is used only where the trace names a DK surface.</t>
        </is>
      </c>
    </row>
    <row r="40" ht="17" customHeight="1">
      <c r="A40" s="26" t="inlineStr">
        <is>
          <t>Class b</t>
        </is>
      </c>
      <c r="B40" s="25" t="inlineStr">
        <is>
          <t>Reachable through the desk, configuration or a scheduled job by design: the trace names only DK or BG surfaces for the key action.</t>
        </is>
      </c>
    </row>
    <row r="41" ht="30" customHeight="1">
      <c r="A41" s="27" t="inlineStr">
        <is>
          <t>Class c</t>
        </is>
      </c>
      <c r="B41" s="25" t="inlineStr">
        <is>
          <t>Partly reachable. The backend exists, but a step has no screen, is desk-only where the trace calls for a custom screen, or is reachable only from code.</t>
        </is>
      </c>
    </row>
    <row r="42" ht="30" customHeight="1">
      <c r="A42" s="28" t="inlineStr">
        <is>
          <t>Class d</t>
        </is>
      </c>
      <c r="B42" s="25" t="inlineStr">
        <is>
          <t>Not implemented, wholly or in a mandatory clause. The class is the weakest mandatory clause; the "What satisfies it" cell names the missing clause.</t>
        </is>
      </c>
    </row>
    <row r="43" ht="17" customHeight="1">
      <c r="A43" s="24" t="inlineStr">
        <is>
          <t>Pass</t>
        </is>
      </c>
      <c r="B43" s="25" t="inlineStr">
        <is>
          <t>✅ — the cited tests exist and passed in the measured run.</t>
        </is>
      </c>
    </row>
    <row r="44" ht="17" customHeight="1">
      <c r="A44" s="29" t="inlineStr">
        <is>
          <t>Pass (qualified)</t>
        </is>
      </c>
      <c r="B44" s="25" t="inlineStr">
        <is>
          <t>✅ with a qualifier such as '(engine only)' or '(flags only)': the tests pass but do not reach the missing clause.</t>
        </is>
      </c>
    </row>
    <row r="45" ht="17" customHeight="1">
      <c r="A45" s="27" t="inlineStr">
        <is>
          <t>No direct test</t>
        </is>
      </c>
      <c r="B45" s="25" t="inlineStr">
        <is>
          <t>⚠️ — nothing tests this requirement directly.</t>
        </is>
      </c>
    </row>
    <row r="46" ht="17" customHeight="1">
      <c r="A46" s="28" t="inlineStr">
        <is>
          <t>Fail</t>
        </is>
      </c>
      <c r="B46" s="25" t="inlineStr">
        <is>
          <t>❌ — a cited test failed.</t>
        </is>
      </c>
    </row>
    <row r="47" ht="17" customHeight="1">
      <c r="A47" s="30" t="inlineStr">
        <is>
          <t>Priority</t>
        </is>
      </c>
      <c r="B47" s="25" t="inlineStr">
        <is>
          <t>All 64 G/P/E requirements are Mandatory; O-1…O-7 are supplementary requirements brought into scope (baseline Appendix A).</t>
        </is>
      </c>
    </row>
    <row r="48" ht="30" customHeight="1">
      <c r="A48" s="30" t="inlineStr">
        <is>
          <t>Cited test methods (est.)</t>
        </is>
      </c>
      <c r="B48" s="25" t="inlineStr">
        <is>
          <t>Sum of '(all N)' plus individually named methods in the Test(s) cell. An estimate: shared engine tests are counted under every requirement that cites them.</t>
        </is>
      </c>
    </row>
    <row r="50">
      <c r="A50" s="7" t="inlineStr">
        <is>
          <t>Sources</t>
        </is>
      </c>
    </row>
    <row r="51">
      <c r="A51" s="5" t="inlineStr">
        <is>
          <t>File</t>
        </is>
      </c>
      <c r="D51" s="5" t="inlineStr">
        <is>
          <t>State</t>
        </is>
      </c>
      <c r="F51" s="5" t="inlineStr">
        <is>
          <t>Last commit</t>
        </is>
      </c>
      <c r="I51" s="5" t="inlineStr">
        <is>
          <t>SHA-256 (first 16)</t>
        </is>
      </c>
    </row>
    <row r="52">
      <c r="A52" s="6" t="inlineStr">
        <is>
          <t>docs/delivery/REQUIREMENTS-COVERAGE.md</t>
        </is>
      </c>
      <c r="D52" s="6" t="inlineStr">
        <is>
          <t>modified since last commit</t>
        </is>
      </c>
      <c r="F52" s="6" t="inlineStr">
        <is>
          <t>50d757c 2026-09-18</t>
        </is>
      </c>
      <c r="I52" s="6" t="inlineStr">
        <is>
          <t>14f9838e73e092bc</t>
        </is>
      </c>
    </row>
    <row r="53">
      <c r="A53" s="6" t="inlineStr">
        <is>
          <t>docs/product/01-requirements-baseline.md</t>
        </is>
      </c>
      <c r="D53" s="6" t="inlineStr">
        <is>
          <t>clean</t>
        </is>
      </c>
      <c r="F53" s="6" t="inlineStr">
        <is>
          <t>32c76ac 2026-09-17</t>
        </is>
      </c>
      <c r="I53" s="6" t="inlineStr">
        <is>
          <t>a0ceb6b98eea9665</t>
        </is>
      </c>
    </row>
    <row r="54">
      <c r="A54" s="6" t="inlineStr">
        <is>
          <t>docs/delivery/EPICS.md</t>
        </is>
      </c>
      <c r="D54" s="6" t="inlineStr">
        <is>
          <t>modified since last commit</t>
        </is>
      </c>
      <c r="F54" s="6" t="inlineStr">
        <is>
          <t>50d757c 2026-09-18</t>
        </is>
      </c>
      <c r="I54" s="6" t="inlineStr">
        <is>
          <t>3075b8c91a430af0</t>
        </is>
      </c>
    </row>
    <row r="55">
      <c r="A55" s="12" t="inlineStr">
        <is>
          <t>Parse warnings: none.</t>
        </is>
      </c>
    </row>
  </sheetData>
  <mergeCells count="10">
    <mergeCell ref="B47:M47"/>
    <mergeCell ref="B48:M48"/>
    <mergeCell ref="B42:M42"/>
    <mergeCell ref="B45:M45"/>
    <mergeCell ref="B46:M46"/>
    <mergeCell ref="B40:M40"/>
    <mergeCell ref="B41:M41"/>
    <mergeCell ref="B44:M44"/>
    <mergeCell ref="B43:M43"/>
    <mergeCell ref="B39:M39"/>
  </mergeCells>
  <conditionalFormatting sqref="M13:M17">
    <cfRule type="expression" priority="1" dxfId="3" stopIfTrue="1">
      <formula>M13="NO"</formula>
    </cfRule>
    <cfRule type="expression" priority="2" dxfId="0" stopIfTrue="1">
      <formula>M13="Yes"</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26" customWidth="1" min="4" max="4"/>
    <col width="22" customWidth="1" min="5" max="5"/>
    <col width="60" customWidth="1" min="6" max="6"/>
    <col width="60" customWidth="1" min="7" max="7"/>
    <col width="13" customWidth="1" min="8" max="8"/>
    <col width="20" customWidth="1" min="9" max="9"/>
    <col width="42" customWidth="1" min="10" max="10"/>
    <col width="52" customWidth="1" min="11" max="11"/>
    <col width="16" customWidth="1" min="12" max="12"/>
    <col width="18" customWidth="1" min="13" max="13"/>
    <col width="14" customWidth="1" min="14" max="14"/>
    <col width="13" customWidth="1" min="15" max="15"/>
    <col width="34" customWidth="1" min="16" max="16"/>
    <col width="13" customWidth="1" min="17" max="17"/>
    <col width="20" customWidth="1" min="18" max="18"/>
    <col width="16" customWidth="1" min="19" max="19"/>
    <col width="13" customWidth="1" min="20" max="20"/>
  </cols>
  <sheetData>
    <row r="1" ht="43" customHeight="1">
      <c r="A1" s="1" t="inlineStr">
        <is>
          <t>ID</t>
        </is>
      </c>
      <c r="B1" s="1" t="inlineStr">
        <is>
          <t>Module</t>
        </is>
      </c>
      <c r="C1" s="1" t="inlineStr">
        <is>
          <t>Priority</t>
        </is>
      </c>
      <c r="D1" s="1" t="inlineStr">
        <is>
          <t>Short title</t>
        </is>
      </c>
      <c r="E1" s="1" t="inlineStr">
        <is>
          <t>Baseline title</t>
        </is>
      </c>
      <c r="F1" s="1" t="inlineStr">
        <is>
          <t>Requirement (baseline statement)</t>
        </is>
      </c>
      <c r="G1" s="1" t="inlineStr">
        <is>
          <t>What satisfies it</t>
        </is>
      </c>
      <c r="H1" s="1" t="inlineStr">
        <is>
          <t>Class</t>
        </is>
      </c>
      <c r="I1" s="1" t="inlineStr">
        <is>
          <t>Class meaning</t>
        </is>
      </c>
      <c r="J1" s="1" t="inlineStr">
        <is>
          <t>Demo data / workflow</t>
        </is>
      </c>
      <c r="K1" s="1" t="inlineStr">
        <is>
          <t>Test(s)</t>
        </is>
      </c>
      <c r="L1" s="1" t="inlineStr">
        <is>
          <t>Result</t>
        </is>
      </c>
      <c r="M1" s="1" t="inlineStr">
        <is>
          <t>Result as measured</t>
        </is>
      </c>
      <c r="N1" s="1" t="inlineStr">
        <is>
          <t>Test evidence</t>
        </is>
      </c>
      <c r="O1" s="1" t="inlineStr">
        <is>
          <t>Cited test methods (est.)</t>
        </is>
      </c>
      <c r="P1" s="1" t="inlineStr">
        <is>
          <t>Planned satisfaction (baseline)</t>
        </is>
      </c>
      <c r="Q1" s="1" t="inlineStr">
        <is>
          <t>Δ decision</t>
        </is>
      </c>
      <c r="R1" s="1" t="inlineStr">
        <is>
          <t>Gap sections citing it</t>
        </is>
      </c>
      <c r="S1" s="1" t="inlineStr">
        <is>
          <t>Epics tracing it</t>
        </is>
      </c>
      <c r="T1" s="1" t="inlineStr">
        <is>
          <t>Stories tracing it</t>
        </is>
      </c>
    </row>
    <row r="2" ht="56" customHeight="1">
      <c r="A2" s="2" t="inlineStr">
        <is>
          <t>G-1</t>
        </is>
      </c>
      <c r="B2" s="3" t="inlineStr">
        <is>
          <t>CGF</t>
        </is>
      </c>
      <c r="C2" s="2" t="inlineStr">
        <is>
          <t>Mandatory</t>
        </is>
      </c>
      <c r="D2" s="3" t="inlineStr">
        <is>
          <t>Central forum repository, role-based access</t>
        </is>
      </c>
      <c r="E2" s="3" t="inlineStr">
        <is>
          <t>Forum Repository</t>
        </is>
      </c>
      <c r="F2" s="3" t="inlineStr">
        <is>
          <t>The system shall provide a centralized, searchable repository of every committee and governance forum, holding forum details, charter documents and associated metadata. Access, visibility and permitted actions shall be governed by role-based access control.</t>
        </is>
      </c>
      <c r="G2" s="3" t="inlineStr">
        <is>
          <t>Governance Forum with DocPerm rows; /forums register and /forum detail over the permission-checked REST API; www/forum.py throws for a viewer without read access and offers Edit only with write permission.</t>
        </is>
      </c>
      <c r="H2" s="2" t="inlineStr">
        <is>
          <t>a</t>
        </is>
      </c>
      <c r="I2" s="3" t="inlineStr">
        <is>
          <t>(a) Portal screen</t>
        </is>
      </c>
      <c r="J2" s="3" t="inlineStr">
        <is>
          <t>14 forums, from FRM-2026-00001 Board of Directors down to working groups (FRM-2026-00013).</t>
        </is>
      </c>
      <c r="K2" s="3" t="inlineStr">
        <is>
          <t>governance.tests.test_entities.TestGovernanceEntities (all 19); governance.tests.test_inventory.TestSearchAndFilter.test_search_respects_permissions; consilium_core.tests.test_portal_pages.TestReaderWithoutAccess (all 2)</t>
        </is>
      </c>
      <c r="L2" s="3" t="inlineStr">
        <is>
          <t>Pass</t>
        </is>
      </c>
      <c r="M2" s="3" t="inlineStr">
        <is>
          <t>✅</t>
        </is>
      </c>
      <c r="N2" s="3" t="inlineStr">
        <is>
          <t>Direct test</t>
        </is>
      </c>
      <c r="O2" s="2" t="n">
        <v>25</v>
      </c>
      <c r="P2" s="3" t="inlineStr">
        <is>
          <t>Config — Governance Forum DocType, attachment handling and the permission engine are native; the register screen is a custom Bootstrap table.</t>
        </is>
      </c>
      <c r="Q2" s="2" t="inlineStr"/>
      <c r="R2" s="3" t="inlineStr"/>
      <c r="S2" s="3" t="inlineStr">
        <is>
          <t>E6</t>
        </is>
      </c>
      <c r="T2" s="2" t="n">
        <v>6</v>
      </c>
    </row>
    <row r="3" ht="95" customHeight="1">
      <c r="A3" s="2" t="inlineStr">
        <is>
          <t>G-2</t>
        </is>
      </c>
      <c r="B3" s="3" t="inlineStr">
        <is>
          <t>CGF</t>
        </is>
      </c>
      <c r="C3" s="2" t="inlineStr">
        <is>
          <t>Mandatory</t>
        </is>
      </c>
      <c r="D3" s="3" t="inlineStr">
        <is>
          <t>Advanced search and filter</t>
        </is>
      </c>
      <c r="E3" s="3" t="inlineStr">
        <is>
          <t>Search and Retrieval</t>
        </is>
      </c>
      <c r="F3" s="3" t="inlineStr">
        <is>
          <t>The system shall provide advanced search and filtering of forums by any indexed metadata field.</t>
        </is>
      </c>
      <c r="G3" s="3" t="inlineStr">
        <is>
          <t>/forums filters by type, status, cadence, risk category, operating group and standing, plus the four multi-valued dimensions (inventory.inventory_filters, inventory.tagged_forum_names, intersecting). Free-text search over name, code and mandate, also taken from ?q=. The header's global search finds a forum by identifier or name from any page (consilium_core/search.py). Retired taxonomy values are marked, not offered as new. Paged server-side, with Export CSV.</t>
        </is>
      </c>
      <c r="H3" s="2" t="inlineStr">
        <is>
          <t>a</t>
        </is>
      </c>
      <c r="I3" s="3" t="inlineStr">
        <is>
          <t>(a) Portal screen</t>
        </is>
      </c>
      <c r="J3" s="3" t="inlineStr">
        <is>
          <t>/forums?standing=overdue lists FRM-2026-00008 Model Risk Committee (review due 2026-08-14).</t>
        </is>
      </c>
      <c r="K3" s="3" t="inlineStr">
        <is>
          <t>governance.tests.test_inventory.TestSearchAndFilter (all 4); governance.tests.test_governance_gaps.TestInventoryReads.test_tagged_filters_intersect, …test_tagged_names_respect_permission, …test_filter_values_include_retired_ones_marked; consilium_core.tests.test_global_search.TestGlobalSearch (all 9)</t>
        </is>
      </c>
      <c r="L3" s="3" t="inlineStr">
        <is>
          <t>Pass</t>
        </is>
      </c>
      <c r="M3" s="3" t="inlineStr">
        <is>
          <t>✅</t>
        </is>
      </c>
      <c r="N3" s="3" t="inlineStr">
        <is>
          <t>Direct test</t>
        </is>
      </c>
      <c r="O3" s="2" t="n">
        <v>19</v>
      </c>
      <c r="P3" s="3" t="inlineStr">
        <is>
          <t>Config + Build — native list filtering and report views on Desk; a hand-built filter/search/sort/paginate control on the custom Forum Register.</t>
        </is>
      </c>
      <c r="Q3" s="2" t="inlineStr">
        <is>
          <t>Δ</t>
        </is>
      </c>
      <c r="R3" s="3" t="inlineStr"/>
      <c r="S3" s="3" t="inlineStr">
        <is>
          <t>E6, E35</t>
        </is>
      </c>
      <c r="T3" s="2" t="n">
        <v>11</v>
      </c>
    </row>
    <row r="4" ht="82" customHeight="1">
      <c r="A4" s="2" t="inlineStr">
        <is>
          <t>G-3</t>
        </is>
      </c>
      <c r="B4" s="3" t="inlineStr">
        <is>
          <t>CGF</t>
        </is>
      </c>
      <c r="C4" s="2" t="inlineStr">
        <is>
          <t>Mandatory</t>
        </is>
      </c>
      <c r="D4" s="3" t="inlineStr">
        <is>
          <t>Forum tagging with controlled taxonomies</t>
        </is>
      </c>
      <c r="E4" s="3" t="inlineStr">
        <is>
          <t>Forum Tagging</t>
        </is>
      </c>
      <c r="F4" s="3" t="inlineStr">
        <is>
          <t>The system shall allow a forum to be tagged with controlled metadata drawn from standard taxonomies, with dependent-field behaviour and dropdown-controlled selection. Minimum attributes: forum identifier, name, type, description, meeting cadence, chair, primary risk category, legal entity, owning organisation (operating group) and owning organisation (line of business).</t>
        </is>
      </c>
      <c r="G4" s="3" t="inlineStr">
        <is>
          <t>Link fields plus four multi-select child tables (business unit, risk type, legal entity, jurisdiction). Operating-group and line-of-business validation. Captured in /create-forum and on desk; shown on /forum. Retired values are not offered (taxonomy standard_queries hook).</t>
        </is>
      </c>
      <c r="H4" s="2" t="inlineStr">
        <is>
          <t>a</t>
        </is>
      </c>
      <c r="I4" s="3" t="inlineStr">
        <is>
          <t>(a) Portal screen</t>
        </is>
      </c>
      <c r="J4" s="3" t="inlineStr">
        <is>
          <t>FRM-2026-00007 Technology and Cyber Risk Committee: type MGMT_CTTE, regulatory-required, 2 business units and 3 risk types.</t>
        </is>
      </c>
      <c r="K4" s="3" t="inlineStr">
        <is>
          <t>test_entities.TestGovernanceEntities.test_four_dimensions_are_multi_valued_and_two_are_not, …test_the_owning_organisation_must_be_an_operating_group, …test_a_line_of_business_must_sit_under_its_operating_group; consilium_core.tests.test_entities.TestTaxonomies (all 9); consilium_core.tests.test_taxonomy.TestActiveOnlySearch (all 6)</t>
        </is>
      </c>
      <c r="L4" s="3" t="inlineStr">
        <is>
          <t>Pass</t>
        </is>
      </c>
      <c r="M4" s="3" t="inlineStr">
        <is>
          <t>✅</t>
        </is>
      </c>
      <c r="N4" s="3" t="inlineStr">
        <is>
          <t>Direct test</t>
        </is>
      </c>
      <c r="O4" s="2" t="n">
        <v>20</v>
      </c>
      <c r="P4" s="3" t="inlineStr">
        <is>
          <t>Config — Link fields to Core taxonomy DocTypes plus child multi-select tables.</t>
        </is>
      </c>
      <c r="Q4" s="2" t="inlineStr">
        <is>
          <t>Δ</t>
        </is>
      </c>
      <c r="R4" s="3" t="inlineStr"/>
      <c r="S4" s="3" t="inlineStr">
        <is>
          <t>E3, E6</t>
        </is>
      </c>
      <c r="T4" s="2" t="n">
        <v>11</v>
      </c>
    </row>
    <row r="5" ht="69" customHeight="1">
      <c r="A5" s="2" t="inlineStr">
        <is>
          <t>G-4</t>
        </is>
      </c>
      <c r="B5" s="3" t="inlineStr">
        <is>
          <t>CGF</t>
        </is>
      </c>
      <c r="C5" s="2" t="inlineStr">
        <is>
          <t>Mandatory</t>
        </is>
      </c>
      <c r="D5" s="3" t="inlineStr">
        <is>
          <t>Forum mapping; regulatory-required with dependent capture</t>
        </is>
      </c>
      <c r="E5" s="3" t="inlineStr">
        <is>
          <t>Forum Mapping</t>
        </is>
      </c>
      <c r="F5" s="3" t="inlineStr">
        <is>
          <t>The system shall allow a forum to be mapped to related forums (upstream and downstream), to be flagged as regulatory-required with dependent capture of the applicable regulatory requirements.</t>
        </is>
      </c>
      <c r="G5" s="3" t="inlineStr">
        <is>
          <t>parent_forum, Forum Link (upstream and downstream), and Forum Regulatory Requirement, required when the flag is set. inventory.interconnectivity is drawn as SVG on /forum (Linkages tab). Links are edited on desk.</t>
        </is>
      </c>
      <c r="H5" s="2" t="inlineStr">
        <is>
          <t>a</t>
        </is>
      </c>
      <c r="I5" s="3" t="inlineStr">
        <is>
          <t>(a) Portal screen</t>
        </is>
      </c>
      <c r="J5" s="3" t="inlineStr">
        <is>
          <t>15 Forum Link rows. FRM-2026-00005 Executive Risk Committee answers to FRM-2026-00004 and FRM-2026-00002 and has five sub-committees. 7 regulatory-required forums, for example FRM-2026-00010 with 2 requirements.</t>
        </is>
      </c>
      <c r="K5" s="3" t="inlineStr">
        <is>
          <t>test_entities.…test_regulatory_detail_becomes_required_when_the_flag_is_set, …test_a_forum_cannot_be_its_own_ancestor, …test_a_link_takes_its_direction_from_the_field_it_sits_in, …test_a_forum_cannot_link_to_itself; test_inventory.TestRelationships (all 2)</t>
        </is>
      </c>
      <c r="L5" s="3" t="inlineStr">
        <is>
          <t>Pass</t>
        </is>
      </c>
      <c r="M5" s="3" t="inlineStr">
        <is>
          <t>✅</t>
        </is>
      </c>
      <c r="N5" s="3" t="inlineStr">
        <is>
          <t>Direct test</t>
        </is>
      </c>
      <c r="O5" s="2" t="n">
        <v>6</v>
      </c>
      <c r="P5" s="3" t="inlineStr">
        <is>
          <t>Config — self-referencing child table Forum Link; Forum Regulatory Requirement child table gated on a check field.</t>
        </is>
      </c>
      <c r="Q5" s="2" t="inlineStr"/>
      <c r="R5" s="3" t="inlineStr"/>
      <c r="S5" s="3" t="inlineStr">
        <is>
          <t>E6</t>
        </is>
      </c>
      <c r="T5" s="2" t="n">
        <v>6</v>
      </c>
    </row>
    <row r="6" ht="134" customHeight="1">
      <c r="A6" s="2" t="inlineStr">
        <is>
          <t>G-5</t>
        </is>
      </c>
      <c r="B6" s="3" t="inlineStr">
        <is>
          <t>CGF</t>
        </is>
      </c>
      <c r="C6" s="2" t="inlineStr">
        <is>
          <t>Mandatory</t>
        </is>
      </c>
      <c r="D6" s="3" t="inlineStr">
        <is>
          <t>Committee formation: intake, 5-criteria evaluation, evidence, exceptions, status</t>
        </is>
      </c>
      <c r="E6" s="3" t="inlineStr">
        <is>
          <t>Committee Formation</t>
        </is>
      </c>
      <c r="F6" s="3" t="inlineStr">
        <is>
          <t>The system shall support the committee formation process: structured intake, evaluation against defined criteria, capture of approval evidence, exception handling and status tracking. Evaluation criteria: gap in risk or governance coverage; duplication with existing forums; clear escalation and reporting pathways; alignment with the risk management framework, risk taxonomy and policy structure; resource feasibility. Charter drafts must be reviewable by the Risk Governance Office for completeness and appropriateness before approval. Acceptable approval evidence includes email, meeting minutes and signed documents. Disputes and exceptions resolve through the Head of Risk Governance.</t>
        </is>
      </c>
      <c r="G6" s="3" t="inlineStr">
        <is>
          <t>Committee Formation Request + Formation Evaluation (5 criteria seeded) + formation.py. /create-forum → /formation-requests → /formation-request covers findings, return and respond, approval steps, exception to the designated authority, charter challenge, approve, reject and withdraw. Approval creates a draft forum. Gap: Charter Approval Evidence rows are captured on desk only (DK-1 is in the trace).</t>
        </is>
      </c>
      <c r="H6" s="2" t="inlineStr">
        <is>
          <t>a</t>
        </is>
      </c>
      <c r="I6" s="3" t="inlineStr">
        <is>
          <t>(a) Portal screen</t>
        </is>
      </c>
      <c r="J6" s="3" t="inlineStr">
        <is>
          <t>One request at each stage: CFR-2026-00006 Draft; 00004 Under Evaluation; 00003 Returned To Originator; 00002 Pending Approval; 00005 Rejected; 00001 Approved → FRM-2026-00014 Data Governance Council, with bypass EXCA-00001.</t>
        </is>
      </c>
      <c r="K6" s="3" t="inlineStr">
        <is>
          <t>governance.tests.test_formation (all 27: TestIntake, TestEvaluation, TestReturnToOriginator, TestApprovalRoute, TestExceptionRoute, TestApprovalCreatesTheForum); governance.tests.test_formation_portal (all 35)</t>
        </is>
      </c>
      <c r="L6" s="3" t="inlineStr">
        <is>
          <t>Pass</t>
        </is>
      </c>
      <c r="M6" s="3" t="inlineStr">
        <is>
          <t>✅</t>
        </is>
      </c>
      <c r="N6" s="3" t="inlineStr">
        <is>
          <t>Direct test</t>
        </is>
      </c>
      <c r="O6" s="2" t="n">
        <v>64</v>
      </c>
      <c r="P6" s="3" t="inlineStr">
        <is>
          <t>Config + Build — Committee Formation Request with a configured multi-state workflow; Forum Evaluation child table; Committee Charter with attached approval evidence. Build: the gating logic that prevents progression.</t>
        </is>
      </c>
      <c r="Q6" s="2" t="inlineStr">
        <is>
          <t>Δ</t>
        </is>
      </c>
      <c r="R6" s="3" t="inlineStr"/>
      <c r="S6" s="3" t="inlineStr">
        <is>
          <t>E7</t>
        </is>
      </c>
      <c r="T6" s="2" t="n">
        <v>6</v>
      </c>
    </row>
    <row r="7" ht="69" customHeight="1">
      <c r="A7" s="2" t="inlineStr">
        <is>
          <t>G-6</t>
        </is>
      </c>
      <c r="B7" s="3" t="inlineStr">
        <is>
          <t>CGF</t>
        </is>
      </c>
      <c r="C7" s="2" t="inlineStr">
        <is>
          <t>Mandatory</t>
        </is>
      </c>
      <c r="D7" s="3" t="inlineStr">
        <is>
          <t>Admin-configurable workflows, no code</t>
        </is>
      </c>
      <c r="E7" s="3" t="inlineStr">
        <is>
          <t>Configurable Automated Workflow</t>
        </is>
      </c>
      <c r="F7" s="3" t="inlineStr">
        <is>
          <t>The system shall support administratively configurable automated workflows for establishing, maintaining and disbanding forums, including approvals and escalations, without custom development.</t>
        </is>
      </c>
      <c r="G7" s="3" t="inlineStr">
        <is>
          <t>Formation Approval Route (steps, sequence and mode as data); Workflow State Flag (130 rows); Watched Field Set; disbandment trigger scenarios and approver roles are select options. Nothing branches on a state label. All on desk.</t>
        </is>
      </c>
      <c r="H7" s="2" t="inlineStr">
        <is>
          <t>b</t>
        </is>
      </c>
      <c r="I7" s="3" t="inlineStr">
        <is>
          <t>(b) Desk / config / job by design</t>
        </is>
      </c>
      <c r="J7" s="3" t="inlineStr">
        <is>
          <t>"Standard Formation Approval" route (request type Any). CFR-2026-00002 shows the three steps it raised.</t>
        </is>
      </c>
      <c r="K7" s="3" t="inlineStr">
        <is>
          <t>test_formation.TestApprovalRoute.test_the_steps_are_configuration, …test_a_route_change_changes_the_steps_without_a_deployment; consilium_core.tests.test_state_flags.TestStateFlags (all 7); governance.tests.test_lifecycle.TestStateFlags (all 3); test_lifecycle.TestWatchedFields (all 5)</t>
        </is>
      </c>
      <c r="L7" s="3" t="inlineStr">
        <is>
          <t>Pass</t>
        </is>
      </c>
      <c r="M7" s="3" t="inlineStr">
        <is>
          <t>✅</t>
        </is>
      </c>
      <c r="N7" s="3" t="inlineStr">
        <is>
          <t>Direct test</t>
        </is>
      </c>
      <c r="O7" s="2" t="n">
        <v>19</v>
      </c>
      <c r="P7" s="3" t="inlineStr">
        <is>
          <t>Native + Config — the framework's Workflow engine (states, transitions, role gates) is a configuration record, editable by an administrator.</t>
        </is>
      </c>
      <c r="Q7" s="2" t="inlineStr">
        <is>
          <t>Δ</t>
        </is>
      </c>
      <c r="R7" s="3" t="inlineStr"/>
      <c r="S7" s="3" t="inlineStr">
        <is>
          <t>E7</t>
        </is>
      </c>
      <c r="T7" s="2" t="n">
        <v>6</v>
      </c>
    </row>
    <row r="8" ht="108" customHeight="1">
      <c r="A8" s="2" t="inlineStr">
        <is>
          <t>G-7</t>
        </is>
      </c>
      <c r="B8" s="3" t="inlineStr">
        <is>
          <t>CGF</t>
        </is>
      </c>
      <c r="C8" s="2" t="inlineStr">
        <is>
          <t>Mandatory</t>
        </is>
      </c>
      <c r="D8" s="3" t="inlineStr">
        <is>
          <t>Governance office controls: completeness, overlap check, charter challenge before approval, validate approvals</t>
        </is>
      </c>
      <c r="E8" s="3" t="inlineStr">
        <is>
          <t>Risk Governance Office Controls</t>
        </is>
      </c>
      <c r="F8" s="3" t="inlineStr">
        <is>
          <t>The system shall prevent progression of a formation request when required information, approvals or evidence are incomplete or inconsistent. It shall validate intake completeness, check the request against the existing forum inventory for overlap or conflict, allow review and challenge of the draft charter before the requester seeks final approval, and validate submitted approvals against the intake record and charter before the forum inventory is updated.</t>
        </is>
      </c>
      <c r="G8" s="3" t="inlineStr">
        <is>
          <t>formation.approval_blockers covers: unassessed criteria; completeness confirmation; undecided steps; refused steps not bypassed; and an uncleared charter challenge (charters.uncleared_challenges). The challenge is recorded on /formation-request (charters.record_charter_challenge). An open challenge also blocks a favourable compliance decision (lifecycle.refuse_standing_over_open_challenge). Gap: the charter's approval evidence (in charters.clearance_blockers) is shown on /forum but is not a formation approval blocker.</t>
        </is>
      </c>
      <c r="H8" s="2" t="inlineStr">
        <is>
          <t>a</t>
        </is>
      </c>
      <c r="I8" s="3" t="inlineStr">
        <is>
          <t>(a) Portal screen</t>
        </is>
      </c>
      <c r="J8" s="3" t="inlineStr">
        <is>
          <t>CFR-2026-00002 is held by CHT-2026-00014 "Changes Requested" and by an open Delegating Authority step. CHT-2026-00007 (FRM-2026-00007) "Changes Requested".</t>
        </is>
      </c>
      <c r="K8" s="3" t="inlineStr">
        <is>
          <t>test_formation.TestIntake.test_submission_runs_the_overlap_check; TestEvaluation (all 4); governance.tests.test_governance_gaps.TestFormationCharterGate (all 2), TestStandingGate (all 3); governance.tests.test_wave3_governance.TestCharterChallengeOnTheRequest (all 2); governance.tests.test_charters.TestEffectiveChallenge (all 4)</t>
        </is>
      </c>
      <c r="L8" s="3" t="inlineStr">
        <is>
          <t>Pass</t>
        </is>
      </c>
      <c r="M8" s="3" t="inlineStr">
        <is>
          <t>✅</t>
        </is>
      </c>
      <c r="N8" s="3" t="inlineStr">
        <is>
          <t>Direct test</t>
        </is>
      </c>
      <c r="O8" s="2" t="n">
        <v>19</v>
      </c>
      <c r="P8" s="3" t="inlineStr">
        <is>
          <t>Build — server-side validation on workflow transition; duplicate-detection query against the forum register; completeness gate on the evaluation child table.</t>
        </is>
      </c>
      <c r="Q8" s="2" t="inlineStr"/>
      <c r="R8" s="3" t="inlineStr"/>
      <c r="S8" s="3" t="inlineStr">
        <is>
          <t>E7, E33</t>
        </is>
      </c>
      <c r="T8" s="2" t="n">
        <v>7</v>
      </c>
    </row>
    <row r="9" ht="134" customHeight="1">
      <c r="A9" s="2" t="inlineStr">
        <is>
          <t>G-8</t>
        </is>
      </c>
      <c r="B9" s="3" t="inlineStr">
        <is>
          <t>CGF</t>
        </is>
      </c>
      <c r="C9" s="2" t="inlineStr">
        <is>
          <t>Mandatory</t>
        </is>
      </c>
      <c r="D9" s="3" t="inlineStr">
        <is>
          <t>Multi-step, sequential or parallel approval; path by materiality and forum type</t>
        </is>
      </c>
      <c r="E9" s="3" t="inlineStr">
        <is>
          <t>Configurable Review and Approval Workflow</t>
        </is>
      </c>
      <c r="F9" s="3" t="inlineStr">
        <is>
          <t>The system shall support a multi-step approval process across stakeholders and roles, with sequential or parallel approvals, capturing charter approval. Approval paths may differ by materiality of change and by forum type.</t>
        </is>
      </c>
      <c r="G9" s="3" t="inlineStr">
        <is>
          <t>Route steps become Core Approval Decisions. Sequential order is enforced in approvals.record_decision (waiting_on, is_turn). Parallel steps and peers sharing a sequence number do not wait. Role-based steps form a queue. Steps are decided on /formation-request by the assignee, a queue member or a delegate. A bypass needs an Exception Authorisation, waives only its own step, and cannot be made by the step's own holder. Missing: the path cannot differ by forum type or by materiality of change. formation.resolve_route selects only by request_type (Any, Create, Modify, Retire), and Formation Approval Route has no forum-type or materiality field.</t>
        </is>
      </c>
      <c r="H9" s="2" t="inlineStr">
        <is>
          <t>d</t>
        </is>
      </c>
      <c r="I9" s="3" t="inlineStr">
        <is>
          <t>(d) Not implemented (whole or mandatory part)</t>
        </is>
      </c>
      <c r="J9" s="3" t="inlineStr">
        <is>
          <t>CFR-2026-00002: Risk Governance Office Evaluation (seq 1) approved, Sponsor Endorsement (seq 2) approved, Delegating Authority (seq 2) pending. CFR-2026-00001: Sponsor step bypassed under EXCA-00001.</t>
        </is>
      </c>
      <c r="K9" s="3" t="inlineStr">
        <is>
          <t>test_formation.TestApprovalRoute (all 5); test_formation_portal.TestApprovalThroughThePortal (all 5); consilium_core.tests.test_core_controls_wave3.TestSequentialApprovals (all 6); governance.tests.test_wave3_governance.TestFormationStepOrder (all 4); governance.tests.test_w3_guides.TestABypassWaivesOnlyItsOwnStep (all 1), TestNobodyBypassesTheirOwnStep (all 2), TestARoleIsAQueue (all 5); consilium_core.tests.test_services.TestApprovals (all 5)</t>
        </is>
      </c>
      <c r="L9" s="3" t="inlineStr">
        <is>
          <t>Pass (qualified)</t>
        </is>
      </c>
      <c r="M9" s="3" t="inlineStr">
        <is>
          <t>✅ (not the path-selection clause)</t>
        </is>
      </c>
      <c r="N9" s="3" t="inlineStr">
        <is>
          <t>Direct test</t>
        </is>
      </c>
      <c r="O9" s="2" t="n">
        <v>37</v>
      </c>
      <c r="P9" s="3" t="inlineStr">
        <is>
          <t>Config + Build — workflow states and role-gated transitions; build for conditional path selection by change materiality.</t>
        </is>
      </c>
      <c r="Q9" s="2" t="inlineStr"/>
      <c r="R9" s="3" t="inlineStr">
        <is>
          <t>Class (d), No direct test</t>
        </is>
      </c>
      <c r="S9" s="3" t="inlineStr">
        <is>
          <t>E7</t>
        </is>
      </c>
      <c r="T9" s="2" t="n">
        <v>6</v>
      </c>
    </row>
    <row r="10" ht="95" customHeight="1">
      <c r="A10" s="2" t="inlineStr">
        <is>
          <t>G-9</t>
        </is>
      </c>
      <c r="B10" s="3" t="inlineStr">
        <is>
          <t>CGF</t>
        </is>
      </c>
      <c r="C10" s="2" t="inlineStr">
        <is>
          <t>Mandatory</t>
        </is>
      </c>
      <c r="D10" s="3" t="inlineStr">
        <is>
          <t>Full history, attributed; archivable prior versions; revert a forum record</t>
        </is>
      </c>
      <c r="E10" s="3" t="inlineStr">
        <is>
          <t>Version Control, Audit History and Accountability</t>
        </is>
      </c>
      <c r="F10" s="3" t="inlineStr">
        <is>
          <t>The system shall track every change to a forum, maintain complete history, and log every user action with a timestamp and attributed actor. Prior versions shall be archivable and viewable. The system shall additionally allow an authorised user to revert a forum record to a previous version.</t>
        </is>
      </c>
      <c r="G10" s="3" t="inlineStr">
        <is>
          <t>A revision.snapshot doc event on Governance Forum writes a version chain. /forum History tab offers a revision history with Revert (revision.history and revision.revert: reason required, governance office only; lifecycle and derived fields are never restored; reverting a watched field sends the forum back for review). Record history (evidence.record_history, now including notifications) and an evidence-pack ZIP with a SHA-256 manifest (evidence.export_pack).</t>
        </is>
      </c>
      <c r="H10" s="2" t="inlineStr">
        <is>
          <t>a</t>
        </is>
      </c>
      <c r="I10" s="3" t="inlineStr">
        <is>
          <t>(a) Portal screen</t>
        </is>
      </c>
      <c r="J10" s="3" t="inlineStr">
        <is>
          <t>VREV-00001: FRM-2026-00010 Asset-Liability Committee reverted to DVER-00109 with a justification. 40 forum versions.</t>
        </is>
      </c>
      <c r="K10" s="3" t="inlineStr">
        <is>
          <t>consilium_core.tests.test_revision.TestForumRevision (all 5); governance.tests.test_governance_gaps.TestForumRevisionCard (all 1); consilium_core.tests.test_core_controls_wave3.TestHistoryAndEvidencePack (all 4); consilium_core.tests.test_versioning.TestVersioning (all 9); consilium_core.tests.test_entities.TestEntityStructure.test_governed_entities_keep_their_change_history</t>
        </is>
      </c>
      <c r="L10" s="3" t="inlineStr">
        <is>
          <t>Pass</t>
        </is>
      </c>
      <c r="M10" s="3" t="inlineStr">
        <is>
          <t>✅</t>
        </is>
      </c>
      <c r="N10" s="3" t="inlineStr">
        <is>
          <t>Direct test</t>
        </is>
      </c>
      <c r="O10" s="2" t="n">
        <v>25</v>
      </c>
      <c r="P10" s="3" t="inlineStr">
        <is>
          <t>Native + Build — field-level version log and comment threads are native; revert is a build.</t>
        </is>
      </c>
      <c r="Q10" s="2" t="inlineStr">
        <is>
          <t>Δ</t>
        </is>
      </c>
      <c r="R10" s="3" t="inlineStr"/>
      <c r="S10" s="3" t="inlineStr">
        <is>
          <t>E4, E30</t>
        </is>
      </c>
      <c r="T10" s="2" t="n">
        <v>6</v>
      </c>
    </row>
    <row r="11" ht="160" customHeight="1">
      <c r="A11" s="2" t="inlineStr">
        <is>
          <t>G-10</t>
        </is>
      </c>
      <c r="B11" s="3" t="inlineStr">
        <is>
          <t>CGF</t>
        </is>
      </c>
      <c r="C11" s="2" t="inlineStr">
        <is>
          <t>Mandatory</t>
        </is>
      </c>
      <c r="D11" s="3" t="inlineStr">
        <is>
          <t>Periodic reviews; annual Q1 inventory attestation by chairs, secretaries, owners</t>
        </is>
      </c>
      <c r="E11" s="3" t="inlineStr">
        <is>
          <t>Forum Maintenance</t>
        </is>
      </c>
      <c r="F11" s="3" t="inlineStr">
        <is>
          <t>The system shall support periodic review schedules including self-assessments, charter reviews and monitoring activities. It shall enforce an annual attestation, conducted in the first quarter, requiring Committee Chairs, Committee Secretaries and Forum Owners to review and confirm the accuracy of the forum inventory.</t>
        </is>
      </c>
      <c r="G11" s="3" t="inlineStr">
        <is>
          <t>Attestation engine with inventory and dual-review campaign types (reviews.open_inventory_attestation; attesting seats CHAIR, SECRETARY, FORUM_OWNER have can_attest). The office opens campaigns and generates tasks from /attestation-campaigns (reviews.open_forum_campaign, generate_forum_campaign_tasks). Tasks are answered and counter-signed in /tasks. Reminders follow each campaign's schedule (reminders.remind_attestation_campaigns, daily). The annual review is run from the forum (/forum-review#annual-review). The overdue chase goes to owners (reminders.remind_forum_reviews). last_attested_on is stamped. Missing: nothing enforces or schedules the first quarter. No job opens the Q1 campaign or flags a year with none. The screen defaults the due date to today + 45 days and accepts any dates.</t>
        </is>
      </c>
      <c r="H11" s="2" t="inlineStr">
        <is>
          <t>d</t>
        </is>
      </c>
      <c r="I11" s="3" t="inlineStr">
        <is>
          <t>(d) Not implemented (whole or mandatory part)</t>
        </is>
      </c>
      <c r="J11" s="3" t="inlineStr">
        <is>
          <t>ACAM-00002 "Forum inventory attestation 2026": 22 attested, 3 with exceptions, 3 declined, 11 pending. It opened 2026-08-04, due 2026-10-03, so outside Q1. ACAM-00003 dual review; ACAM-00001 (2025) closed. Annual reviews FCR-2026-00015/16/17.</t>
        </is>
      </c>
      <c r="K11" s="3" t="inlineStr">
        <is>
          <t>consilium_core.tests.test_attestation.TestAttestation (all 13), TestUnconfiguredRecordsDoNotStopACampaign (all 3); consilium_core.tests.test_inbox.TestInboxAttestation (all 8), TestSecondSignature (all 3), TestCampaignAdministration (all 5); consilium_core.tests.test_w3_guides_core.TestCampaignReminderSchedule (all 4); consilium_core.tests.test_reminders.TestForumReviewReminders (all 1); governance.tests.test_lifecycle.TestAnnualReview (all 4); governance.tests.test_w3_guides.TestAnnualReviewFromTheForum (all 4); test_inventory.TestAttestationStamp (all 3)</t>
        </is>
      </c>
      <c r="L11" s="3" t="inlineStr">
        <is>
          <t>Pass (qualified)</t>
        </is>
      </c>
      <c r="M11" s="3" t="inlineStr">
        <is>
          <t>✅ (not the Q1 clause)</t>
        </is>
      </c>
      <c r="N11" s="3" t="inlineStr">
        <is>
          <t>Direct test</t>
        </is>
      </c>
      <c r="O11" s="2" t="n">
        <v>54</v>
      </c>
      <c r="P11" s="3" t="inlineStr">
        <is>
          <t>Build — the shared attestation campaign/task engine, with a CGF inventory campaign type; scheduled job generates tasks and reminders.</t>
        </is>
      </c>
      <c r="Q11" s="2" t="inlineStr">
        <is>
          <t>Δ</t>
        </is>
      </c>
      <c r="R11" s="3" t="inlineStr">
        <is>
          <t>Class (d), No direct test</t>
        </is>
      </c>
      <c r="S11" s="3" t="inlineStr">
        <is>
          <t>E8, E18, E28</t>
        </is>
      </c>
      <c r="T11" s="2" t="n">
        <v>13</v>
      </c>
    </row>
    <row r="12" ht="82" customHeight="1">
      <c r="A12" s="2" t="inlineStr">
        <is>
          <t>G-11</t>
        </is>
      </c>
      <c r="B12" s="3" t="inlineStr">
        <is>
          <t>CGF</t>
        </is>
      </c>
      <c r="C12" s="2" t="inlineStr">
        <is>
          <t>Mandatory</t>
        </is>
      </c>
      <c r="D12" s="3" t="inlineStr">
        <is>
          <t>Configurable disbandment: triggers, approvals, plan artefact</t>
        </is>
      </c>
      <c r="E12" s="3" t="inlineStr">
        <is>
          <t>Committee Disbanding</t>
        </is>
      </c>
      <c r="F12" s="3" t="inlineStr">
        <is>
          <t>The system shall provide a configurable disbandment workflow covering trigger scenarios (annual inventory review, self-assessment outcome, charter review, completion of mandate), validation of closure approvals from the delegating authority, sponsor, chair and — where applicable — the jurisdictional Chief Risk Officer, and capture of a formal disbandment plan as an uploaded, tracked artefact.</t>
        </is>
      </c>
      <c r="G12" s="3" t="inlineStr">
        <is>
          <t>/forum-disband (linked from /forum): lifecycle.raise_disbandment_plan (the governance office; five trigger scenarios; delegating authority, sponsor and chair required, jurisdictional CRO optional); attach_disbandment_file (only a file attached to this plan); record_disbandment_decision (approver or delegate); execute_forum_disbandment (waits for every approval; the forum becomes inactive, never deleted).</t>
        </is>
      </c>
      <c r="H12" s="2" t="inlineStr">
        <is>
          <t>a</t>
        </is>
      </c>
      <c r="I12" s="3" t="inlineStr">
        <is>
          <t>(a) Portal screen</t>
        </is>
      </c>
      <c r="J12" s="3" t="inlineStr">
        <is>
          <t>FDIS-2026-00001: FRM-2026-00012 Outsourcing Oversight Forum disbanded 2026-04-21, successor FRM-2026-00013. FDIS-2026-00002 (FRM-2026-00013) live: delegating authority approved, sponsor and chair pending. Neither demo plan has a plan file attached.</t>
        </is>
      </c>
      <c r="K12" s="3" t="inlineStr">
        <is>
          <t>governance.tests.test_governance_gaps.TestDisbandmentPortal (all 8); governance.tests.test_lifecycle.TestDisbandment (all 5); test_entities.…test_a_disbandment_plan_needs_the_approvals_it_requires; test_formation_portal.TestComplianceReviewThroughThePortal.test_a_disbanded_forum_is_not_reviewed_again</t>
        </is>
      </c>
      <c r="L12" s="3" t="inlineStr">
        <is>
          <t>Pass</t>
        </is>
      </c>
      <c r="M12" s="3" t="inlineStr">
        <is>
          <t>✅</t>
        </is>
      </c>
      <c r="N12" s="3" t="inlineStr">
        <is>
          <t>Direct test</t>
        </is>
      </c>
      <c r="O12" s="2" t="n">
        <v>17</v>
      </c>
      <c r="P12" s="3" t="inlineStr">
        <is>
          <t>Config + Build — terminal workflow state with its own approval path; Disbandment Plan DocType; build for the approval-completeness gate and the retention consequence.</t>
        </is>
      </c>
      <c r="Q12" s="2" t="inlineStr"/>
      <c r="R12" s="3" t="inlineStr"/>
      <c r="S12" s="3" t="inlineStr">
        <is>
          <t>E8</t>
        </is>
      </c>
      <c r="T12" s="2" t="n">
        <v>5</v>
      </c>
    </row>
    <row r="13" ht="134" customHeight="1">
      <c r="A13" s="2" t="inlineStr">
        <is>
          <t>G-12</t>
        </is>
      </c>
      <c r="B13" s="3" t="inlineStr">
        <is>
          <t>CGF</t>
        </is>
      </c>
      <c r="C13" s="2" t="inlineStr">
        <is>
          <t>Mandatory</t>
        </is>
      </c>
      <c r="D13" s="3" t="inlineStr">
        <is>
          <t>Reporting and dashboards: status, coverage, compliance, performance; drill-down; export</t>
        </is>
      </c>
      <c r="E13" s="3" t="inlineStr">
        <is>
          <t>Reporting and Dashboards</t>
        </is>
      </c>
      <c r="F13" s="3" t="inlineStr">
        <is>
          <t>The system shall provide reporting and dashboards for oversight of forums enterprise-wide: status, coverage, compliance and performance metrics; filtering, aggregation and drill-down by forum type, status, legal entity, risk coverage, ownership and review or attestation status; current and historical views including forums in formation, active forums, upcoming reviews, overdue actions and service-level performance; export of reports and artefacts for management, audit and regulatory needs.</t>
        </is>
      </c>
      <c r="G13" s="3" t="inlineStr">
        <is>
          <t>/reports: forums awaiting review, overdue, regulatory-required, disbanded; by compliance status and by type; coverage matrix of risk category by owning group, with empty cells highlighted. Every figure links to the filtered /forums. Also /governance-gaps (ai.gaps.detect: coverage, forum, policy and regulatory gaps; ai.scoring.assess); /formation-requests for forums in formation; /attestation-campaigns board for attestation status. Export CSV on /forums exports the matching rows through the permission-checked list (up to 5,000 rows, formula-safe). Gap: no service-level performance for forums or formation (no SLA Definition targets either doctype).</t>
        </is>
      </c>
      <c r="H13" s="2" t="inlineStr">
        <is>
          <t>c</t>
        </is>
      </c>
      <c r="I13" s="3" t="inlineStr">
        <is>
          <t>(c) Partly reachable</t>
        </is>
      </c>
      <c r="J13" s="3" t="inlineStr">
        <is>
          <t>FRM-2026-00007 Non-Compliant; FRM-2026-00013 Pending; FRM-2026-00011 and FRM-2026-00014 Draft; FRM-2026-00012 Disbanded; FRM-2026-00008 overdue.</t>
        </is>
      </c>
      <c r="K13" s="3" t="inlineStr">
        <is>
          <t>consilium_core.tests.test_ai_features.TestGaps.test_forum_policy_regulatory_and_coverage_gaps_are_found; consilium_core.tests.test_ai_features.TestPages (all 1); consilium_core.tests.test_portal_pages.TestAdministrator.test_every_page_renders_with_its_key_sections</t>
        </is>
      </c>
      <c r="L13" s="3" t="inlineStr">
        <is>
          <t>Pass (qualified)</t>
        </is>
      </c>
      <c r="M13" s="3" t="inlineStr">
        <is>
          <t>✅ (gap rules and page render only; no forum figure is tested)</t>
        </is>
      </c>
      <c r="N13" s="3" t="inlineStr">
        <is>
          <t>Direct test</t>
        </is>
      </c>
      <c r="O13" s="2" t="n">
        <v>6</v>
      </c>
      <c r="P13" s="3" t="inlineStr">
        <is>
          <t>Native + Build — native report builder, query reports, dashboard charts and export on Desk; custom Bootstrap dashboard screens for the daily-use views.</t>
        </is>
      </c>
      <c r="Q13" s="2" t="inlineStr"/>
      <c r="R13" s="3" t="inlineStr">
        <is>
          <t>Class (c), No direct test</t>
        </is>
      </c>
      <c r="S13" s="3" t="inlineStr">
        <is>
          <t>E10, E20</t>
        </is>
      </c>
      <c r="T13" s="2" t="n">
        <v>9</v>
      </c>
    </row>
    <row r="14" ht="108" customHeight="1">
      <c r="A14" s="2" t="inlineStr">
        <is>
          <t>G-13</t>
        </is>
      </c>
      <c r="B14" s="3" t="inlineStr">
        <is>
          <t>CGF</t>
        </is>
      </c>
      <c r="C14" s="2" t="inlineStr">
        <is>
          <t>Mandatory</t>
        </is>
      </c>
      <c r="D14" s="3" t="inlineStr">
        <is>
          <t>RBAC with delegates; groupings; nomination of delegates</t>
        </is>
      </c>
      <c r="E14" s="3" t="inlineStr">
        <is>
          <t>Role-Based Access Control</t>
        </is>
      </c>
      <c r="F14" s="3" t="inlineStr">
        <is>
          <t>The system shall provide role-based access for individuals and their delegates (Committee Secretary, Forum Owner, Reviewer, Approver, Viewer, Administrator). It shall support grouping users by role and attribute (line of business, first/second line of defence, legal, compliance, voting versus non-voting). Chairs, sponsors and secretaries shall be able to nominate delegates for administrative tasks.</t>
        </is>
      </c>
      <c r="G14" s="3" t="inlineStr">
        <is>
          <t>Roles (Committee Secretary, Forum Owner, Compliance Reviewer, Governance Viewer, Risk Governance Office, Consilium Administrator, Consilium Audit and others). Seat roles carry vote, quorum and attest flags. Authority Delegation with a validity window (delegation.resolve_actor). Seat delegates on Forum Membership. Gap: chairs and sponsors cannot nominate a delegate themselves. Only System Manager and Consilium Administrator may create Authority Delegation. Seat delegates are set on desk by the Committee Secretary or the governance office.</t>
        </is>
      </c>
      <c r="H14" s="2" t="inlineStr">
        <is>
          <t>c</t>
        </is>
      </c>
      <c r="I14" s="3" t="inlineStr">
        <is>
          <t>(c) Partly reachable</t>
        </is>
      </c>
      <c r="J14" s="3" t="inlineStr">
        <is>
          <t>23 personas. ADEL-00001…00004 (ADEL-00002 expired). FMEM-00031 on FRM-2026-00005 has a standing delegate.</t>
        </is>
      </c>
      <c r="K14" s="3" t="inlineStr">
        <is>
          <t>consilium_core.tests.test_delegation.TestDelegation (all 13); consilium_core.tests.test_entities.TestPermissions (all 5); governance.tests.test_membership.TestDelegation (all 3); governance.tests.test_voting.TestDelegatedVoting (all 3); test_w3_guides.TestARoleIsAQueue (all 5)</t>
        </is>
      </c>
      <c r="L14" s="3" t="inlineStr">
        <is>
          <t>Pass</t>
        </is>
      </c>
      <c r="M14" s="3" t="inlineStr">
        <is>
          <t>✅</t>
        </is>
      </c>
      <c r="N14" s="3" t="inlineStr">
        <is>
          <t>Direct test</t>
        </is>
      </c>
      <c r="O14" s="2" t="n">
        <v>33</v>
      </c>
      <c r="P14" s="3" t="inlineStr">
        <is>
          <t>Native + Config + Build — native role/permission engine and user groups; forum-scoped accountability roles are modelled as membership rows; build for delegation validity windows.</t>
        </is>
      </c>
      <c r="Q14" s="2" t="inlineStr">
        <is>
          <t>Δ</t>
        </is>
      </c>
      <c r="R14" s="3" t="inlineStr">
        <is>
          <t>Class (c)</t>
        </is>
      </c>
      <c r="S14" s="3" t="inlineStr">
        <is>
          <t>E2, E9</t>
        </is>
      </c>
      <c r="T14" s="2" t="n">
        <v>11</v>
      </c>
    </row>
    <row r="15" ht="147" customHeight="1">
      <c r="A15" s="2" t="inlineStr">
        <is>
          <t>G-14</t>
        </is>
      </c>
      <c r="B15" s="3" t="inlineStr">
        <is>
          <t>CGF</t>
        </is>
      </c>
      <c r="C15" s="2" t="inlineStr">
        <is>
          <t>Mandatory</t>
        </is>
      </c>
      <c r="D15" s="3" t="inlineStr">
        <is>
          <t>Configurable, templated, automated notifications (approvals, reviews, escalations, meetings, attestation, charter reviews)</t>
        </is>
      </c>
      <c r="E15" s="3" t="inlineStr">
        <is>
          <t>Notifications</t>
        </is>
      </c>
      <c r="F15" s="3" t="inlineStr">
        <is>
          <t>The system shall send configurable, templated, automated notifications for approvals, reviews, escalations, meeting schedules, annual attestation and charter reviews.</t>
        </is>
      </c>
      <c r="G15" s="3" t="inlineStr">
        <is>
          <t>Notification Template per event (49, admin-editable per channel; notification.notify). There is an e-mail adapter over SMTP or Microsoft Graph, falling back to the record channel, with retry. Every caller now raises an event; none sends hard-coded text. Governance events: formation returned, approval requested, exception raised, approved and rejected; forum review recorded, returned for review and disbanded; disbandment approval requested (governance.disbandment.approval_requested, from lifecycle.raise_disbandment); forum review overdue; attestation open and second signature missing; attestation task reminder. Missing: no notification for meeting schedules or charter reviews (no event code, template or caller).</t>
        </is>
      </c>
      <c r="H15" s="2" t="inlineStr">
        <is>
          <t>d</t>
        </is>
      </c>
      <c r="I15" s="3" t="inlineStr">
        <is>
          <t>(d) Not implemented (whole or mandatory part)</t>
        </is>
      </c>
      <c r="J15" s="3" t="inlineStr">
        <is>
          <t>201 dispatches: 178 EMAIL, 23 RECORD. For example "Formation approval requested" (8), "Compliance review recorded" (34). The 2 "Forum disbandment awaits your approval" dispatches were written by the demo load before that notice was templated. Reminder Log row for governance.forum_review.overdue on FRM-2026-00008.</t>
        </is>
      </c>
      <c r="K15" s="3" t="inlineStr">
        <is>
          <t>governance.tests.test_wave3_governance.TestTemplatedNotices (all 3); consilium_core.tests.test_notification_templates.TestSeeding (all 2), TestEventApi (all 10), TestTemplateFailures (all 5), TestEmailRetry (all 3); consilium_core.tests.test_notification.TestNotification (all 6); test_formation.TestReturnToOriginator.test_the_originator_is_notified; test_lifecycle.TestWatchedFields.test_compliance_is_notified_and_a_task_is_raised; governance.tests.test_governance_gaps.TestDisbandmentPortal.test_raising_names_g11s_approvers_and_asks_them</t>
        </is>
      </c>
      <c r="L15" s="3" t="inlineStr">
        <is>
          <t>Pass (qualified)</t>
        </is>
      </c>
      <c r="M15" s="3" t="inlineStr">
        <is>
          <t>✅ (what exists; nothing tests the missing meeting and charter notices)</t>
        </is>
      </c>
      <c r="N15" s="3" t="inlineStr">
        <is>
          <t>Direct test</t>
        </is>
      </c>
      <c r="O15" s="2" t="n">
        <v>36</v>
      </c>
      <c r="P15" s="3" t="inlineStr">
        <is>
          <t>Native + Config + Build — native notification definitions and email queue; build for the pluggable channel abstraction.</t>
        </is>
      </c>
      <c r="Q15" s="2" t="inlineStr">
        <is>
          <t>Δ</t>
        </is>
      </c>
      <c r="R15" s="3" t="inlineStr">
        <is>
          <t>Class (d), No direct test</t>
        </is>
      </c>
      <c r="S15" s="3" t="inlineStr">
        <is>
          <t>E9, E19, E29, E36</t>
        </is>
      </c>
      <c r="T15" s="2" t="n">
        <v>18</v>
      </c>
    </row>
    <row r="16" ht="82" customHeight="1">
      <c r="A16" s="2" t="inlineStr">
        <is>
          <t>G-15</t>
        </is>
      </c>
      <c r="B16" s="3" t="inlineStr">
        <is>
          <t>CGF</t>
        </is>
      </c>
      <c r="C16" s="2" t="inlineStr">
        <is>
          <t>Mandatory</t>
        </is>
      </c>
      <c r="D16" s="3" t="inlineStr">
        <is>
          <t>Attach any documents, with version control and audit log; retain all</t>
        </is>
      </c>
      <c r="E16" s="3" t="inlineStr">
        <is>
          <t>Document Management</t>
        </is>
      </c>
      <c r="F16" s="3" t="inlineStr">
        <is>
          <t>The system shall allow documents to be attached without restriction on type or count — templates, charters and mandates, agendas, meeting minutes and related material — with version control, and shall show an audit log of all activity. All documents and history shall be retained.</t>
        </is>
      </c>
      <c r="G16" s="3" t="inlineStr">
        <is>
          <t>Native attachments and activity log. On /forum Documents: start a charter (charters.start_forum_charter) and take a new charter version with a change summary (charters.publish_charter_version, only a file attached to that charter; this reopens the challenge). Minutes are versioned through the desk button "Record minutes" (meetings.record_meeting_minutes). Meeting agenda file. Deletion guarded.</t>
        </is>
      </c>
      <c r="H16" s="2" t="inlineStr">
        <is>
          <t>a</t>
        </is>
      </c>
      <c r="I16" s="3" t="inlineStr">
        <is>
          <t>(a) Portal screen</t>
        </is>
      </c>
      <c r="J16" s="3" t="inlineStr">
        <is>
          <t>14 charters, 17 charter versions (CHT-2026-00005, CHT-2026-00007 and CHT-2026-00011 have 2 each). 67 meetings, 38 with a minutes version (for example FMTG-2026-00035).</t>
        </is>
      </c>
      <c r="K16" s="3" t="inlineStr">
        <is>
          <t>governance.tests.test_governance_gaps.TestCharterPortal (all 9); governance.tests.test_charters.TestCharterVersions (all 2); governance.tests.test_regressions.TestMinutes (all 3)</t>
        </is>
      </c>
      <c r="L16" s="3" t="inlineStr">
        <is>
          <t>Pass</t>
        </is>
      </c>
      <c r="M16" s="3" t="inlineStr">
        <is>
          <t>✅</t>
        </is>
      </c>
      <c r="N16" s="3" t="inlineStr">
        <is>
          <t>Direct test</t>
        </is>
      </c>
      <c r="O16" s="2" t="n">
        <v>17</v>
      </c>
      <c r="P16" s="3" t="inlineStr">
        <is>
          <t>Native + Build — native attachment handling and activity log; build for the document version chain and its retention linkage.</t>
        </is>
      </c>
      <c r="Q16" s="2" t="inlineStr">
        <is>
          <t>Δ</t>
        </is>
      </c>
      <c r="R16" s="3" t="inlineStr"/>
      <c r="S16" s="3" t="inlineStr">
        <is>
          <t>E5, E33</t>
        </is>
      </c>
      <c r="T16" s="2" t="n">
        <v>6</v>
      </c>
    </row>
    <row r="17" ht="134" customHeight="1">
      <c r="A17" s="2" t="inlineStr">
        <is>
          <t>G-16</t>
        </is>
      </c>
      <c r="B17" s="3" t="inlineStr">
        <is>
          <t>CGF</t>
        </is>
      </c>
      <c r="C17" s="2" t="inlineStr">
        <is>
          <t>Mandatory</t>
        </is>
      </c>
      <c r="D17" s="3" t="inlineStr">
        <is>
          <t>Retention per policy; WORM for the retention period</t>
        </is>
      </c>
      <c r="E17" s="3" t="inlineStr">
        <is>
          <t>Data and Document Retention</t>
        </is>
      </c>
      <c r="F17" s="3" t="inlineStr">
        <is>
          <t>The system shall retain data and documents in accordance with the applicable retention policy and requirements, and shall hold documents and data in a write-once, read-many form for the duration of their retention period.</t>
        </is>
      </c>
      <c r="G17" s="3" t="inlineStr">
        <is>
          <t>Retention class, assignment and legal hold on desk. guard_modification and guard_deletion on every doctype. Hash-chained Archive Record. The daily retention.flag_due_for_disposal puts past-retention archives up for approved disposition (held when under legal hold) and deletes nothing. Gap: nothing in the application creates an Archive Record. execute_disposition and release_hold have no caller outside tests, so an approved disposal cannot be carried out from any screen. 0 Retention Assignments on the demo site, so no governance record is actually under retention or WORM (retention_lock reads assignments, not the forum's retention_class field).</t>
        </is>
      </c>
      <c r="H17" s="2" t="inlineStr">
        <is>
          <t>c</t>
        </is>
      </c>
      <c r="I17" s="3" t="inlineStr">
        <is>
          <t>(c) Partly reachable</t>
        </is>
      </c>
      <c r="J17" s="3" t="inlineStr">
        <is>
          <t>5 retention classes (GOV-MINUTES requires WORM). All 14 forums carry retention_class GOV-FORUM. 0 assignments, 0 archives, 0 dispositions.</t>
        </is>
      </c>
      <c r="K17" s="3" t="inlineStr">
        <is>
          <t>consilium_core.tests.test_retention.TestRetention (all 14); consilium_core.tests.test_core_controls_wave3.TestScheduledDisposalReview (all 5)</t>
        </is>
      </c>
      <c r="L17" s="3" t="inlineStr">
        <is>
          <t>Pass</t>
        </is>
      </c>
      <c r="M17" s="3" t="inlineStr">
        <is>
          <t>✅</t>
        </is>
      </c>
      <c r="N17" s="3" t="inlineStr">
        <is>
          <t>Direct test</t>
        </is>
      </c>
      <c r="O17" s="2" t="n">
        <v>21</v>
      </c>
      <c r="P17" s="3" t="inlineStr">
        <is>
          <t>Build — retention classes, retention schedule evaluation, legal holds, immutable archive records and disposition, built in platform.</t>
        </is>
      </c>
      <c r="Q17" s="2" t="inlineStr">
        <is>
          <t>Δ</t>
        </is>
      </c>
      <c r="R17" s="3" t="inlineStr">
        <is>
          <t>Class (c)</t>
        </is>
      </c>
      <c r="S17" s="3" t="inlineStr">
        <is>
          <t>E5</t>
        </is>
      </c>
      <c r="T17" s="2" t="n">
        <v>5</v>
      </c>
    </row>
    <row r="18" ht="121" customHeight="1">
      <c r="A18" s="2" t="inlineStr">
        <is>
          <t>G-17</t>
        </is>
      </c>
      <c r="B18" s="3" t="inlineStr">
        <is>
          <t>CGF</t>
        </is>
      </c>
      <c r="C18" s="2" t="inlineStr">
        <is>
          <t>Mandatory</t>
        </is>
      </c>
      <c r="D18" s="3" t="inlineStr">
        <is>
          <t>Governance intake form with minimum fields; office checks completeness</t>
        </is>
      </c>
      <c r="E18" s="3" t="inlineStr">
        <is>
          <t>Governance Intake Form</t>
        </is>
      </c>
      <c r="F18" s="3" t="inlineStr">
        <is>
          <t>The system shall allow a request to create, modify or retire a forum to be submitted, with configurable content and a configurable workflow. Intake shall capture at minimum: whether the request is to create a new committee as defined by the enterprise governance standard; the rationale; the purpose and scope; the proposed responsibilities; the delegating authority; whether delegating-authority approval has been obtained (not required at submission); the proposed timeline; and the expected date of the first meeting. The Risk Governance Office shall check completeness and appropriateness before the request proceeds.</t>
        </is>
      </c>
      <c r="G18" s="3" t="inlineStr">
        <is>
          <t>/create-forum wizard (guidance, required fields, draft save, compliance-review warning) → formation.submit_request; answer to a return via respond_to_returned_request. Completeness is confirmed on /formation-request. Originators without a governance role can open, answer and withdraw their own request.</t>
        </is>
      </c>
      <c r="H18" s="2" t="inlineStr">
        <is>
          <t>a</t>
        </is>
      </c>
      <c r="I18" s="3" t="inlineStr">
        <is>
          <t>(a) Portal screen</t>
        </is>
      </c>
      <c r="J18" s="3" t="inlineStr">
        <is>
          <t>CFR-2026-00006 Payments Innovation Forum (draft); CFR-2026-00003 returned with questions.</t>
        </is>
      </c>
      <c r="K18" s="3" t="inlineStr">
        <is>
          <t>test_formation.TestIntake (all 5); test_formation_portal.TestReturnAndRespond (all 4), TestNamedPeople (all 2); test_w3_guides.TestTheOriginatorReadsTheirOwnRequest (all 3)</t>
        </is>
      </c>
      <c r="L18" s="3" t="inlineStr">
        <is>
          <t>Pass</t>
        </is>
      </c>
      <c r="M18" s="3" t="inlineStr">
        <is>
          <t>✅</t>
        </is>
      </c>
      <c r="N18" s="3" t="inlineStr">
        <is>
          <t>Direct test</t>
        </is>
      </c>
      <c r="O18" s="2" t="n">
        <v>14</v>
      </c>
      <c r="P18" s="3" t="inlineStr">
        <is>
          <t>Config + Build — Committee Formation Request DocType and workflow; custom Create-Forum wizard screen; build for the completeness gate.</t>
        </is>
      </c>
      <c r="Q18" s="2" t="inlineStr"/>
      <c r="R18" s="3" t="inlineStr"/>
      <c r="S18" s="3" t="inlineStr">
        <is>
          <t>E7</t>
        </is>
      </c>
      <c r="T18" s="2" t="n">
        <v>6</v>
      </c>
    </row>
    <row r="19" ht="95" customHeight="1">
      <c r="A19" s="2" t="inlineStr">
        <is>
          <t>G-18</t>
        </is>
      </c>
      <c r="B19" s="3" t="inlineStr">
        <is>
          <t>CGF</t>
        </is>
      </c>
      <c r="C19" s="2" t="inlineStr">
        <is>
          <t>Mandatory</t>
        </is>
      </c>
      <c r="D19" s="3" t="inlineStr">
        <is>
          <t>Standardised intake fields (committee-centric)</t>
        </is>
      </c>
      <c r="E19" s="3" t="inlineStr">
        <is>
          <t>Intake Form Fields</t>
        </is>
      </c>
      <c r="F19" s="3" t="inlineStr">
        <is>
          <t>The system shall define and enforce a standardized, configurable set of intake fields, validated for completeness and aligned to the platform taxonomies, covering identifying, ownership and organisational information: forum name, forum identifier, requester, forum type, jurisdiction, parent forum, child forum(s), owning organisation (operating group), owning organisation (line of business), owning organisation (business unit), and forum sponsor.</t>
        </is>
      </c>
      <c r="G19" s="3" t="inlineStr">
        <is>
          <t>Mandatory and validated fields on Committee Formation Request: name, proposed id, requester, type, jurisdiction, parent, child forums, operating group, line of business, business units, sponsor. The fields G-17 adds are also present: new-committee flag, rationale, purpose and scope, responsibilities, delegating authority and its approval, timeline, first meeting.</t>
        </is>
      </c>
      <c r="H19" s="2" t="inlineStr">
        <is>
          <t>a</t>
        </is>
      </c>
      <c r="I19" s="3" t="inlineStr">
        <is>
          <t>(a) Portal screen</t>
        </is>
      </c>
      <c r="J19" s="3" t="inlineStr">
        <is>
          <t>Any submitted request, for example CFR-2026-00002 Operational Resilience Steering Committee.</t>
        </is>
      </c>
      <c r="K19" s="3" t="inlineStr">
        <is>
          <t>test_formation.TestIntake.test_required_fields_are_enforced_before_submission, …test_a_modify_request_must_name_its_subject, …test_one_intake_covers_create_modify_and_retire</t>
        </is>
      </c>
      <c r="L19" s="3" t="inlineStr">
        <is>
          <t>Pass</t>
        </is>
      </c>
      <c r="M19" s="3" t="inlineStr">
        <is>
          <t>✅</t>
        </is>
      </c>
      <c r="N19" s="3" t="inlineStr">
        <is>
          <t>Direct test</t>
        </is>
      </c>
      <c r="O19" s="2" t="n">
        <v>3</v>
      </c>
      <c r="P19" s="3" t="inlineStr">
        <is>
          <t>Config — mandatory-field and validation metadata on the intake DocType.</t>
        </is>
      </c>
      <c r="Q19" s="2" t="inlineStr">
        <is>
          <t>Δ</t>
        </is>
      </c>
      <c r="R19" s="3" t="inlineStr"/>
      <c r="S19" s="3" t="inlineStr">
        <is>
          <t>E7</t>
        </is>
      </c>
      <c r="T19" s="2" t="n">
        <v>6</v>
      </c>
    </row>
    <row r="20" ht="121" customHeight="1">
      <c r="A20" s="2" t="inlineStr">
        <is>
          <t>G-19</t>
        </is>
      </c>
      <c r="B20" s="3" t="inlineStr">
        <is>
          <t>CGF</t>
        </is>
      </c>
      <c r="C20" s="2" t="inlineStr">
        <is>
          <t>Mandatory</t>
        </is>
      </c>
      <c r="D20" s="3" t="inlineStr">
        <is>
          <t>Forum data reused (documents, escalations, risk appetite); inbound governed; mapped, validated, traceable</t>
        </is>
      </c>
      <c r="E20" s="3" t="inlineStr">
        <is>
          <t>Integration Capabilities</t>
        </is>
      </c>
      <c r="F20" s="3" t="inlineStr">
        <is>
          <t>The system shall make forum data available for consistent reuse wherever governance context is required — approving forums for governing documents, escalation pathways, risk appetite and risk identification — and shall consume governance-relevant data from elsewhere. Data exchange shall be field-mapped, validated, and subject to defined handling rules for invalid, missing or incomplete data, and shall be traceable for audit.</t>
        </is>
      </c>
      <c r="G20" s="3" t="inlineStr">
        <is>
          <t>Reuse inside the database: Governing Document.approving_forum (listed on /forum) and Escalation Forum Link (Escalations tab on /forum). /imports (CS-11) uploads, maps, validates, reviews rows, commits or discards (importing.upload_batch, revalidate_batch, exclude_row, commit_reviewed_batch, discard_batch). Gap: the outbound export file (importing.export_records) has no caller, so no forum data file can be produced for the risk appetite or risk register. No import profile targets governance data (profiles exist for Escalation Matter and Regulatory Requirement only). External Reference rows are entered on desk.</t>
        </is>
      </c>
      <c r="H20" s="2" t="inlineStr">
        <is>
          <t>c</t>
        </is>
      </c>
      <c r="I20" s="3" t="inlineStr">
        <is>
          <t>(c) Partly reachable</t>
        </is>
      </c>
      <c r="J20" s="3" t="inlineStr">
        <is>
          <t>EXTR-00001…00004 on FRM-2026-00005 and FRM-2026-00006. IMPB-00001 (escalation import, Validated). 0 export batches. FRM-2026-00006 approves 5 governing documents.</t>
        </is>
      </c>
      <c r="K20" s="3" t="inlineStr">
        <is>
          <t>consilium_core.tests.test_import_pipeline.TestImportPipeline (all 9); consilium_core.tests.test_imports_portal.TestUpload (all 5), TestReview (all 7), TestDiscard (all 1), TestMethods (all 1); escalation.tests.test_import_export.TestImportPath (all 4)</t>
        </is>
      </c>
      <c r="L20" s="3" t="inlineStr">
        <is>
          <t>Pass</t>
        </is>
      </c>
      <c r="M20" s="3" t="inlineStr">
        <is>
          <t>✅</t>
        </is>
      </c>
      <c r="N20" s="3" t="inlineStr">
        <is>
          <t>Direct test</t>
        </is>
      </c>
      <c r="O20" s="2" t="n">
        <v>30</v>
      </c>
      <c r="P20" s="3" t="inlineStr">
        <is>
          <t>Config + Build — reuse by Policy and Escalation is an in-database relationship; reuse by the risk appetite system and the risk register is an export file; inbound is the manual import path.</t>
        </is>
      </c>
      <c r="Q20" s="2" t="inlineStr">
        <is>
          <t>Δ</t>
        </is>
      </c>
      <c r="R20" s="3" t="inlineStr">
        <is>
          <t>Class (c)</t>
        </is>
      </c>
      <c r="S20" s="3" t="inlineStr">
        <is>
          <t>E6, E21, E28</t>
        </is>
      </c>
      <c r="T20" s="2" t="n">
        <v>13</v>
      </c>
    </row>
    <row r="21" ht="121" customHeight="1">
      <c r="A21" s="2" t="inlineStr">
        <is>
          <t>P-1</t>
        </is>
      </c>
      <c r="B21" s="3" t="inlineStr">
        <is>
          <t>POL</t>
        </is>
      </c>
      <c r="C21" s="2" t="inlineStr">
        <is>
          <t>Mandatory</t>
        </is>
      </c>
      <c r="D21" s="3" t="inlineStr">
        <is>
          <t>Central repository with RBAC; restricted handling limits view, download, print, share</t>
        </is>
      </c>
      <c r="E21" s="3" t="inlineStr">
        <is>
          <t>Policy Repository</t>
        </is>
      </c>
      <c r="F21" s="3" t="inlineStr">
        <is>
          <t>The system shall provide a centralized, searchable repository of all governing documents and their metadata, covering at minimum Frameworks, Policies, Standards, Procedures and Supporting Documents. Access, visibility and permitted actions shall be governed by role-based access control. The system shall identify confidential or restricted documents and apply enhanced handling so that view, download, print and share are limited to authorized roles.</t>
        </is>
      </c>
      <c r="G21" s="3" t="inlineStr">
        <is>
          <t>Governing Document (5 types; Directive is deliberately not modelled); /policies, /policy and /document-view. policy/handling.py is registered in hooks.py as has_permission and permission_query_conditions on Governing Document and Document Version, plus File.before_insert (guard_file_privacy). Read is narrowed for Confidential and Restricted documents. Print, download and share are refused per flag and rendition on the print view, file fetch, share and e-mail. Loosening the handling is refused to anyone but the policy office, and the refusal is logged.</t>
        </is>
      </c>
      <c r="H21" s="2" t="inlineStr">
        <is>
          <t>a</t>
        </is>
      </c>
      <c r="I21" s="3" t="inlineStr">
        <is>
          <t>(a) Portal screen</t>
        </is>
      </c>
      <c r="J21" s="3" t="inlineStr">
        <is>
          <t>GDOC-00010 Anti-Money Laundering Policy: Confidential, with the three flags off; PPUB-00008 Targeted Groups, view-only. GDOC-00015 Artificial Intelligence Use Standard: Restricted.</t>
        </is>
      </c>
      <c r="K21" s="3" t="inlineStr">
        <is>
          <t>policy.tests.test_handling.TestVisibility (all 8), TestActions (all 7), TestHandlingChanges (all 6), TestVersionBody (all 4), TestVersionHooks (all 2), TestViewerPage (all 5); policy.tests.test_repository.TestGoverningDocument.test_confidential_closes_the_three_actions_by_default</t>
        </is>
      </c>
      <c r="L21" s="3" t="inlineStr">
        <is>
          <t>Pass</t>
        </is>
      </c>
      <c r="M21" s="3" t="inlineStr">
        <is>
          <t>✅</t>
        </is>
      </c>
      <c r="N21" s="3" t="inlineStr">
        <is>
          <t>Direct test</t>
        </is>
      </c>
      <c r="O21" s="2" t="n">
        <v>35</v>
      </c>
      <c r="P21" s="3" t="inlineStr">
        <is>
          <t>Config + Build — Governing Document DocType and permission rules; build for the restricted-handling controls (download/print/share gating), which are not native.</t>
        </is>
      </c>
      <c r="Q21" s="2" t="inlineStr">
        <is>
          <t>Δ</t>
        </is>
      </c>
      <c r="R21" s="3" t="inlineStr"/>
      <c r="S21" s="3" t="inlineStr">
        <is>
          <t>E11, E30</t>
        </is>
      </c>
      <c r="T21" s="2" t="n">
        <v>7</v>
      </c>
    </row>
    <row r="22" ht="95" customHeight="1">
      <c r="A22" s="2" t="inlineStr">
        <is>
          <t>P-2</t>
        </is>
      </c>
      <c r="B22" s="3" t="inlineStr">
        <is>
          <t>POL</t>
        </is>
      </c>
      <c r="C22" s="2" t="inlineStr">
        <is>
          <t>Mandatory</t>
        </is>
      </c>
      <c r="D22" s="3" t="inlineStr">
        <is>
          <t>Advanced search and filter</t>
        </is>
      </c>
      <c r="E22" s="3" t="inlineStr">
        <is>
          <t>Search and Retrieval</t>
        </is>
      </c>
      <c r="F22" s="3" t="inlineStr">
        <is>
          <t>The system shall provide advanced search and filtering of governing documents by metadata.</t>
        </is>
      </c>
      <c r="G22" s="3" t="inlineStr">
        <is>
          <t>/policies: filters for type, phase, group, risk category, handling, owner and standing, all kept in the URL. Full-text search over title, reference, abstract, body and the current version's text goes through repository.search, which honours permissions and handling. Owner options come from repository.owners. The header's global search finds a document by reference or title from any page, through the same permission and handling rules.</t>
        </is>
      </c>
      <c r="H22" s="2" t="inlineStr">
        <is>
          <t>a</t>
        </is>
      </c>
      <c r="I22" s="3" t="inlineStr">
        <is>
          <t>(a) Portal screen</t>
        </is>
      </c>
      <c r="J22" s="3" t="inlineStr">
        <is>
          <t>/policies?standing=overdue lists GDOC-00003, GDOC-00009 and GDOC-00014, all in force and past next_review_on.</t>
        </is>
      </c>
      <c r="K22" s="3" t="inlineStr">
        <is>
          <t>policy.tests.test_wave3.TestSearch (all 4); test_repository.TestGoverningDocument.test_search_filters_and_matches_title_and_content, …test_search_respects_permissions; consilium_core.tests.test_global_search.TestGlobalSearch (all 9)</t>
        </is>
      </c>
      <c r="L22" s="3" t="inlineStr">
        <is>
          <t>Pass</t>
        </is>
      </c>
      <c r="M22" s="3" t="inlineStr">
        <is>
          <t>✅</t>
        </is>
      </c>
      <c r="N22" s="3" t="inlineStr">
        <is>
          <t>Direct test</t>
        </is>
      </c>
      <c r="O22" s="2" t="n">
        <v>17</v>
      </c>
      <c r="P22" s="3" t="inlineStr">
        <is>
          <t>Config + Build — as G-2.</t>
        </is>
      </c>
      <c r="Q22" s="2" t="inlineStr">
        <is>
          <t>Δ</t>
        </is>
      </c>
      <c r="R22" s="3" t="inlineStr"/>
      <c r="S22" s="3" t="inlineStr">
        <is>
          <t>E11, E35</t>
        </is>
      </c>
      <c r="T22" s="2" t="n">
        <v>10</v>
      </c>
    </row>
    <row r="23" ht="160" customHeight="1">
      <c r="A23" s="2" t="inlineStr">
        <is>
          <t>P-3</t>
        </is>
      </c>
      <c r="B23" s="3" t="inlineStr">
        <is>
          <t>POL</t>
        </is>
      </c>
      <c r="C23" s="2" t="inlineStr">
        <is>
          <t>Mandatory</t>
        </is>
      </c>
      <c r="D23" s="3" t="inlineStr">
        <is>
          <t>Metadata tagging (named attributes, accountability roles)</t>
        </is>
      </c>
      <c r="E23" s="3" t="inlineStr">
        <is>
          <t>Policy Tagging</t>
        </is>
      </c>
      <c r="F23" s="3" t="inlineStr">
        <is>
          <t>The system shall support metadata-driven tagging using controlled fields, field dependencies and standardized taxonomies. Metadata shall include at minimum: document identifiers (name, identifier, type); ownership and accountability roles; organisational alignment; risk classification and applicability; lifecycle status and relationships. Named attributes include document name, document identifier, key contact, document type, jurisdiction, parent document, child document(s), primary risk category, legal entity, owning organisation (operating group), owning organisation (line of business), direct document link, training-required flag, attachments, document approver, document liaison, document owner, document delegate (optional), document sponsor, line of defence, material-entity flag and lifecycle phase.</t>
        </is>
      </c>
      <c r="G23" s="3" t="inlineStr">
        <is>
          <t>Every named field and child table, including the accountability-roles table. Shown on /policy, captured on the desk (DK-1), and correctable one field at a time on /policy (metadata.correct_metadata, with a reason). Retired taxonomy values are not offered (standard_queries).</t>
        </is>
      </c>
      <c r="H23" s="2" t="inlineStr">
        <is>
          <t>a</t>
        </is>
      </c>
      <c r="I23" s="3" t="inlineStr">
        <is>
          <t>(a) Portal screen</t>
        </is>
      </c>
      <c r="J23" s="3" t="inlineStr">
        <is>
          <t>GDOC-00005 Outsourcing and Third-Party Risk Policy: regulatory-required, parent GDOC-00003, approving forum FRM-2026-00006.</t>
        </is>
      </c>
      <c r="K23" s="3" t="inlineStr">
        <is>
          <t>test_repository.TestGoverningDocument.test_creates_with_required_metadata, …test_refuses_creation_without_required_metadata, …test_material_entity_flag_requires_an_entity; policy.tests.test_entities.TestAccountabilityAndReferences (all 3); policy.tests.test_wave3.TestMetadataCorrection (all 3)</t>
        </is>
      </c>
      <c r="L23" s="3" t="inlineStr">
        <is>
          <t>Pass</t>
        </is>
      </c>
      <c r="M23" s="3" t="inlineStr">
        <is>
          <t>✅</t>
        </is>
      </c>
      <c r="N23" s="3" t="inlineStr">
        <is>
          <t>Direct test</t>
        </is>
      </c>
      <c r="O23" s="2" t="n">
        <v>11</v>
      </c>
      <c r="P23" s="3" t="inlineStr">
        <is>
          <t>Config — Link and child-table fields against Core taxonomies; accountability roles as a child table.</t>
        </is>
      </c>
      <c r="Q23" s="2" t="inlineStr">
        <is>
          <t>Δ</t>
        </is>
      </c>
      <c r="R23" s="3" t="inlineStr"/>
      <c r="S23" s="3" t="inlineStr">
        <is>
          <t>E3, E11</t>
        </is>
      </c>
      <c r="T23" s="2" t="n">
        <v>10</v>
      </c>
    </row>
    <row r="24" ht="69" customHeight="1">
      <c r="A24" s="2" t="inlineStr">
        <is>
          <t>P-4</t>
        </is>
      </c>
      <c r="B24" s="3" t="inlineStr">
        <is>
          <t>POL</t>
        </is>
      </c>
      <c r="C24" s="2" t="inlineStr">
        <is>
          <t>Mandatory</t>
        </is>
      </c>
      <c r="D24" s="3" t="inlineStr">
        <is>
          <t>Parent, child and addendum lineage; family dashboard</t>
        </is>
      </c>
      <c r="E24" s="3" t="inlineStr">
        <is>
          <t>Document Mapping and Parent-Child Lineage</t>
        </is>
      </c>
      <c r="F24" s="3" t="inlineStr">
        <is>
          <t>The system shall allow governing documents to be mapped to related governing documents — parent, child and addendum — and shall present document families in a dashboard view.</t>
        </is>
      </c>
      <c r="G24" s="3" t="inlineStr">
        <is>
          <t>Document Relationship plus parent_document, with cycles prevented. lineage.lineage_of is drawn on /policy, and a restricted child is not named to a reader who cannot see it. The "Document families" section on /reports (reporting.families) is permission-filtered and exports to CSV.</t>
        </is>
      </c>
      <c r="H24" s="2" t="inlineStr">
        <is>
          <t>a</t>
        </is>
      </c>
      <c r="I24" s="3" t="inlineStr">
        <is>
          <t>(a) Portal screen</t>
        </is>
      </c>
      <c r="J24" s="3" t="inlineStr">
        <is>
          <t>GDOC-00001 ERM Framework → GDOC-00002, 00003, 00006. GDOC-00003 → 00005, 00007, 00012. GDOC-00008 → 00011. GDOC-00013 (retired) → 00014.</t>
        </is>
      </c>
      <c r="K24" s="3" t="inlineStr">
        <is>
          <t>test_repository.TestLineage (all 4); policy.tests.test_wave3.TestLineageVisibility (all 1), TestReporting (all 3)</t>
        </is>
      </c>
      <c r="L24" s="3" t="inlineStr">
        <is>
          <t>Pass</t>
        </is>
      </c>
      <c r="M24" s="3" t="inlineStr">
        <is>
          <t>✅</t>
        </is>
      </c>
      <c r="N24" s="3" t="inlineStr">
        <is>
          <t>Direct test</t>
        </is>
      </c>
      <c r="O24" s="2" t="n">
        <v>9</v>
      </c>
      <c r="P24" s="3" t="inlineStr">
        <is>
          <t>Config + Build — Document Relationship child table; build for the family/lineage visualisation.</t>
        </is>
      </c>
      <c r="Q24" s="2" t="inlineStr"/>
      <c r="R24" s="3" t="inlineStr"/>
      <c r="S24" s="3" t="inlineStr">
        <is>
          <t>E11, E33</t>
        </is>
      </c>
      <c r="T24" s="2" t="n">
        <v>6</v>
      </c>
    </row>
    <row r="25" ht="108" customHeight="1">
      <c r="A25" s="2" t="inlineStr">
        <is>
          <t>P-5</t>
        </is>
      </c>
      <c r="B25" s="3" t="inlineStr">
        <is>
          <t>POL</t>
        </is>
      </c>
      <c r="C25" s="2" t="inlineStr">
        <is>
          <t>Mandatory</t>
        </is>
      </c>
      <c r="D25" s="3" t="inlineStr">
        <is>
          <t>Links to risk-programme objects (forums, risks, controls, training, issues)</t>
        </is>
      </c>
      <c r="E25" s="3" t="inlineStr">
        <is>
          <t>Mapping to Risk Programmes</t>
        </is>
      </c>
      <c r="F25" s="3" t="inlineStr">
        <is>
          <t>The system shall allow governing documents to be linked to other risk programme objects: risk assessments; processes, risks and controls; training; a regulatory-requirement indicator; and related issues.</t>
        </is>
      </c>
      <c r="G25" s="3" t="inlineStr">
        <is>
          <t>In the database: approving_forum, shown on /policy and resolved from /forum; the regulatory-required indicator and references; the training-required flag; the violation → escalation link. The Impact panel on /policy (ai/impact.py) walks the forums, regulation, monitoring and violations. Gap: foreign risks, controls, processes and training items are External Reference rows (or Implementation Plan impacted processes and controls) entered on the desk only. /policy does not show them, and no import profile brings them in for documents.</t>
        </is>
      </c>
      <c r="H25" s="2" t="inlineStr">
        <is>
          <t>c</t>
        </is>
      </c>
      <c r="I25" s="3" t="inlineStr">
        <is>
          <t>(c) Partly reachable</t>
        </is>
      </c>
      <c r="J25" s="3" t="inlineStr">
        <is>
          <t>GDOC-00003 approved by FRM-2026-00006. The 6 External Reference rows on the site are all on forums and escalations; none is on a governing document.</t>
        </is>
      </c>
      <c r="K25" s="3" t="inlineStr">
        <is>
          <t>consilium_core.tests.test_ai_features.TestImpact.test_the_rule_based_impact_reaches_lineage_regulation_forums_monitoring_and_violations; policy.tests.test_entities.TestImplementationPlan.test_working_groups_and_references_are_multi_valued</t>
        </is>
      </c>
      <c r="L25" s="3" t="inlineStr">
        <is>
          <t>Pass (qualified)</t>
        </is>
      </c>
      <c r="M25" s="3" t="inlineStr">
        <is>
          <t>✅ (in-database links; nothing tests external references on a document's page)</t>
        </is>
      </c>
      <c r="N25" s="3" t="inlineStr">
        <is>
          <t>Direct test</t>
        </is>
      </c>
      <c r="O25" s="2" t="n">
        <v>4</v>
      </c>
      <c r="P25" s="3" t="inlineStr">
        <is>
          <t>Config + Build — in-platform links where the counterpart is a Consilium record (governance forums, escalations); external references held as imported reference records, not live links.</t>
        </is>
      </c>
      <c r="Q25" s="2" t="inlineStr">
        <is>
          <t>Δ</t>
        </is>
      </c>
      <c r="R25" s="3" t="inlineStr">
        <is>
          <t>Class (c), No direct test</t>
        </is>
      </c>
      <c r="S25" s="3" t="inlineStr">
        <is>
          <t>E12</t>
        </is>
      </c>
      <c r="T25" s="2" t="n">
        <v>6</v>
      </c>
    </row>
    <row r="26" ht="95" customHeight="1">
      <c r="A26" s="2" t="inlineStr">
        <is>
          <t>P-6</t>
        </is>
      </c>
      <c r="B26" s="3" t="inlineStr">
        <is>
          <t>POL</t>
        </is>
      </c>
      <c r="C26" s="2" t="inlineStr">
        <is>
          <t>Mandatory</t>
        </is>
      </c>
      <c r="D26" s="3" t="inlineStr">
        <is>
          <t>Regulatory-required with dependent capture; keep references current; notify owners on regulatory change</t>
        </is>
      </c>
      <c r="E26" s="3" t="inlineStr">
        <is>
          <t>Regulatory Linkage</t>
        </is>
      </c>
      <c r="F26" s="3" t="inlineStr">
        <is>
          <t>The system shall allow a governing document to be designated regulatory-required, and when so designated shall require capture of the relevant regulatory detail through dependent fields. It shall maintain linkage from documents to the applicable laws, rules, regulations or standards, keep references and effective dates current, and notify impacted document owners when a tracked regulatory change occurs.</t>
        </is>
      </c>
      <c r="G26" s="3" t="inlineStr">
        <is>
          <t>The flag plus Document Regulatory Reference, shown on /policy. A regulatory-change file is imported on /imports through the seeded profile IMPP-00001 (policy/regulatory_import.py, whose prepare_changes makes a blank cell mean "unchanged"). A change can also be recorded on /regulatory-updates. Either way the Regulatory Requirement controller (notify_citing_owners) tells the owners of citing documents and forums through the templated event regulatory.requirement.changed.</t>
        </is>
      </c>
      <c r="H26" s="2" t="inlineStr">
        <is>
          <t>a</t>
        </is>
      </c>
      <c r="I26" s="3" t="inlineStr">
        <is>
          <t>(a) Portal screen</t>
        </is>
      </c>
      <c r="J26" s="3" t="inlineStr">
        <is>
          <t>12 requirements. The dispatch "Regulatory change: Operational Resilience Guideline…" went by e-mail to the owner of GDOC-00007. IMPP-00001 is seeded, but no regulatory batch has been run on the demo.</t>
        </is>
      </c>
      <c r="K26" s="3" t="inlineStr">
        <is>
          <t>consilium_core.tests.test_regulatory_change.TestRegulatoryChangeFanOut (all 6); policy.tests.test_wave3.TestRegulatoryChangeImport (all 2); consilium_core.tests.test_ai_features.TestRegulatory (all 8); test_repository.TestGoverningDocument.test_regulatory_flag_requires_a_reference</t>
        </is>
      </c>
      <c r="L26" s="3" t="inlineStr">
        <is>
          <t>Pass</t>
        </is>
      </c>
      <c r="M26" s="3" t="inlineStr">
        <is>
          <t>✅</t>
        </is>
      </c>
      <c r="N26" s="3" t="inlineStr">
        <is>
          <t>Direct test</t>
        </is>
      </c>
      <c r="O26" s="2" t="n">
        <v>20</v>
      </c>
      <c r="P26" s="3" t="inlineStr">
        <is>
          <t>Config + Build — dependent Regulatory Reference child table; regulatory-change intake is an imported file, and the impact-notification fan-out is a build.</t>
        </is>
      </c>
      <c r="Q26" s="2" t="inlineStr">
        <is>
          <t>Δ</t>
        </is>
      </c>
      <c r="R26" s="3" t="inlineStr"/>
      <c r="S26" s="3" t="inlineStr">
        <is>
          <t>E12, E29</t>
        </is>
      </c>
      <c r="T26" s="2" t="n">
        <v>9</v>
      </c>
    </row>
    <row r="27" ht="134" customHeight="1">
      <c r="A27" s="2" t="inlineStr">
        <is>
          <t>P-7</t>
        </is>
      </c>
      <c r="B27" s="3" t="inlineStr">
        <is>
          <t>POL</t>
        </is>
      </c>
      <c r="C27" s="2" t="inlineStr">
        <is>
          <t>Mandatory</t>
        </is>
      </c>
      <c r="D27" s="3" t="inlineStr">
        <is>
          <t>Configurable lifecycle workflows by type and change; SLA per step; approaching or breached alerts</t>
        </is>
      </c>
      <c r="E27" s="3" t="inlineStr">
        <is>
          <t>Configurable Automated Workflow</t>
        </is>
      </c>
      <c r="F27" s="3" t="inlineStr">
        <is>
          <t>The system shall support administratively configurable automated workflows for every stage of the document lifecycle, varying by document type and type of change, with conditional routing, tracking and reporting of service levels for all lifecycle steps, and alerts for approaching or breached thresholds. Configuration shall require no custom development.</t>
        </is>
      </c>
      <c r="G27" s="3" t="inlineStr">
        <is>
          <t>The framework Workflow Governing Document Lifecycle and Document Lifecycle Gate rows are configured on the desk (DK-4). Conditional routing by type, change and risk comes from Approval Route. A new workflow state needs no schema change (derive_phase_from_state and the Workflow State Flag phase column, opt-in per site). Status-driven SLA clocks per lifecycle step (sla.on_subject_update) and the daily and hourly sla.sweep send the warning (warning_threshold_pct) and the breach through templates. Actions are taken on /policy. Note: step SLAs are seeded for Review and Approved only; other phases need an SLA Definition row.</t>
        </is>
      </c>
      <c r="H27" s="2" t="inlineStr">
        <is>
          <t>a</t>
        </is>
      </c>
      <c r="I27" s="3" t="inlineStr">
        <is>
          <t>(a) Portal screen</t>
        </is>
      </c>
      <c r="J27" s="3" t="inlineStr">
        <is>
          <t>POL-STEP-REVIEW is running on GDOC-00005, 00011 and 00015; POL-STEP-APPROVED on GDOC-00006. The intake clocks POL-INTAKE-MAJOR and MINOR are Met on PINT-00001…03 and Running on PINT-00004 and 00008.</t>
        </is>
      </c>
      <c r="K27" s="3" t="inlineStr">
        <is>
          <t>policy.tests.test_lifecycle.TestLifecycleConfiguration (all 5), TestApprovalRouting (all 7); policy.tests.test_w3_state_phase.TestDerivedPhase (all 7); consilium_core.tests.test_sla_measures.TestGoverningDocumentSteps (all 1), TestWarningsAndBreaches (all 7); policy.tests.test_intake.TestClassificationDrivesRoutingAndService (all 5)</t>
        </is>
      </c>
      <c r="L27" s="3" t="inlineStr">
        <is>
          <t>Pass</t>
        </is>
      </c>
      <c r="M27" s="3" t="inlineStr">
        <is>
          <t>✅</t>
        </is>
      </c>
      <c r="N27" s="3" t="inlineStr">
        <is>
          <t>Direct test</t>
        </is>
      </c>
      <c r="O27" s="2" t="n">
        <v>36</v>
      </c>
      <c r="P27" s="3" t="inlineStr">
        <is>
          <t>Native + Config + Build — native workflow engine; build for the service-level definition, clock and breach alerting.</t>
        </is>
      </c>
      <c r="Q27" s="2" t="inlineStr"/>
      <c r="R27" s="3" t="inlineStr"/>
      <c r="S27" s="3" t="inlineStr">
        <is>
          <t>E12, E29</t>
        </is>
      </c>
      <c r="T27" s="2" t="n">
        <v>9</v>
      </c>
    </row>
    <row r="28" ht="212" customHeight="1">
      <c r="A28" s="2" t="inlineStr">
        <is>
          <t>P-8</t>
        </is>
      </c>
      <c r="B28" s="3" t="inlineStr">
        <is>
          <t>POL</t>
        </is>
      </c>
      <c r="C28" s="2" t="inlineStr">
        <is>
          <t>Mandatory</t>
        </is>
      </c>
      <c r="D28" s="3" t="inlineStr">
        <is>
          <t>Multi-step approval: parent-owner approval, reminders, exceptions and exemptions, group routing, annual attestation, horizon-scan scheduling</t>
        </is>
      </c>
      <c r="E28" s="3" t="inlineStr">
        <is>
          <t>Configurable Review and Approval Workflow</t>
        </is>
      </c>
      <c r="F28" s="3" t="inlineStr">
        <is>
          <t>The system shall support a multi-step approval process across stakeholders and roles, sequential or parallel, including: approval by parent-document owners of changes to child documents where required; automated routing, reminders and escalations; real-time approval tracking with timestamps, comments and sign-offs; forms and workflows for exception requests and exemptions; routing of approvals and notifications to user groups; role-based assignment of approval steps; conditional approval paths by document type, change type or risk level; a full audit trail of approval actions; routing of annual attestation notices and deadline reminders; and horizon-scanning notifications — notifying owners when scans are due, tracking completion of manual scans, and triggering downstream workflow after a scan.</t>
        </is>
      </c>
      <c r="G28" s="3" t="inlineStr">
        <is>
          <t>These parts are built: route resolution with a parent-owner step (routing.resolved_steps); steps raised, decided (assignee or live delegate) and bypassed only under an exception authorisation, all from /policy; sequential order enforced; steps in /tasks. Gate exceptions are requested by the owner and approved by the policy office. Exemptions are on the desk, with a daily lapse. Document attestation campaigns are opened from /policy (attestation.open_campaign), with reminders on the campaign schedule and answers in /tasks. Horizon scans are recorded from /policy, chased by daily horizon.remind_due, and a triggering scan opens a review cycle. Missing: (1) reminders and escalation for an approval step left pending. No job reads open Approval Decision rows. The lifecycle-phase SLA warns only the document owner, because sla.RESPONSIBLE_FIELDS names no approver. (2) Routing approvals to user groups. A step resolves to one user from a document field or a named user. required_role is stored but is not used as a queue for policy steps, unlike formation.</t>
        </is>
      </c>
      <c r="H28" s="2" t="inlineStr">
        <is>
          <t>d</t>
        </is>
      </c>
      <c r="I28" s="3" t="inlineStr">
        <is>
          <t>(d) Not implemented (whole or mandatory part)</t>
        </is>
      </c>
      <c r="J28" s="3" t="inlineStr">
        <is>
          <t>GDOC-00005 in Review: 1 step approved, 1 pending. GDOC-00006 Model Risk Management Policy: 3 approved decisions. ACAM-00004: 5 attested, 4 pending. PHSC-00002 → PRVC-00001, review triggered. PEXM-00001 authorised exemption.</t>
        </is>
      </c>
      <c r="K28" s="3" t="inlineStr">
        <is>
          <t>policy.tests.test_portal_actions.TestApprovalChain (all 15); test_lifecycle.TestApprovalRouting (all 7), TestParentOwnerApproval (all 3); consilium_core.tests.test_core_controls_wave3.TestSequentialApprovals (all 6); policy.tests.test_wave3.TestGateExceptions (all 4), TestAttestationCampaign (all 2); policy.tests.test_horizon.TestScanCadence (all 8), TestScanTriggersReview (all 5); test_entities.TestExemptionLifecycle (all 5); consilium_core.tests.test_w3_guides_core.TestCampaignReminderSchedule (all 4)</t>
        </is>
      </c>
      <c r="L28" s="3" t="inlineStr">
        <is>
          <t>Pass (qualified)</t>
        </is>
      </c>
      <c r="M28" s="3" t="inlineStr">
        <is>
          <t>✅ (what exists; nothing tests approval reminders because there are none)</t>
        </is>
      </c>
      <c r="N28" s="3" t="inlineStr">
        <is>
          <t>Direct test</t>
        </is>
      </c>
      <c r="O28" s="2" t="n">
        <v>64</v>
      </c>
      <c r="P28" s="3" t="inlineStr">
        <is>
          <t>Config + Build — workflow configuration; build for parent-owner approval injection, attestation campaign integration and horizon-scan scheduling.</t>
        </is>
      </c>
      <c r="Q28" s="2" t="inlineStr">
        <is>
          <t>Δ</t>
        </is>
      </c>
      <c r="R28" s="3" t="inlineStr">
        <is>
          <t>Class (d), No direct test</t>
        </is>
      </c>
      <c r="S28" s="3" t="inlineStr">
        <is>
          <t>E12, E14, E18, E27</t>
        </is>
      </c>
      <c r="T28" s="2" t="n">
        <v>26</v>
      </c>
    </row>
    <row r="29" ht="82" customHeight="1">
      <c r="A29" s="2" t="inlineStr">
        <is>
          <t>P-9</t>
        </is>
      </c>
      <c r="B29" s="3" t="inlineStr">
        <is>
          <t>POL</t>
        </is>
      </c>
      <c r="C29" s="2" t="inlineStr">
        <is>
          <t>Mandatory</t>
        </is>
      </c>
      <c r="D29" s="3" t="inlineStr">
        <is>
          <t>Full history; prior versions accessible; revert</t>
        </is>
      </c>
      <c r="E29" s="3" t="inlineStr">
        <is>
          <t>Version Control, Audit History and Accountability</t>
        </is>
      </c>
      <c r="F29" s="3" t="inlineStr">
        <is>
          <t>The system shall track every change to a governing document, maintain a complete history, and log every user action with timestamp and attributed actor. Prior versions shall be archived and remain accessible. The system shall additionally allow an authorised user to revert a document to a previous version.</t>
        </is>
      </c>
      <c r="G29" s="3" t="inlineStr">
        <is>
          <t>Native Version log (track_changes), shown as the change log on /policy. Body version chain in Document Version. Upload goes through publication.upload_new_version (text or a file attached privately) and revert through publication.revert_version (required reason, forward-only). Both are on /policy, and a revert keeps the lifecycle phase. Prior versions open in /document-view.</t>
        </is>
      </c>
      <c r="H29" s="2" t="inlineStr">
        <is>
          <t>a</t>
        </is>
      </c>
      <c r="I29" s="3" t="inlineStr">
        <is>
          <t>(a) Portal screen</t>
        </is>
      </c>
      <c r="J29" s="3" t="inlineStr">
        <is>
          <t>157 document versions; GDOC-00001, 00004, 00005 and 00015 have 2 versions each. No document revert has been done on the demo; the one Version Revert Log row is on forum FRM-2026-00010.</t>
        </is>
      </c>
      <c r="K29" s="3" t="inlineStr">
        <is>
          <t>policy.tests.test_portal_actions.TestVersions (all 9); policy.tests.test_wave3_policy.TestRevertLeavesTheLifecycleAlone (all 1); test_lifecycle.TestVersioningAndPublication.test_revert_writes_a_new_version_and_never_rewrites_one; consilium_core.tests.test_versioning.TestVersioning (all 9)</t>
        </is>
      </c>
      <c r="L29" s="3" t="inlineStr">
        <is>
          <t>Pass</t>
        </is>
      </c>
      <c r="M29" s="3" t="inlineStr">
        <is>
          <t>✅</t>
        </is>
      </c>
      <c r="N29" s="3" t="inlineStr">
        <is>
          <t>Direct test</t>
        </is>
      </c>
      <c r="O29" s="2" t="n">
        <v>23</v>
      </c>
      <c r="P29" s="3" t="inlineStr">
        <is>
          <t>Native + Build — native field-level version log for metadata; document body versions and revert are a build, because we hold the authoritative body.</t>
        </is>
      </c>
      <c r="Q29" s="2" t="inlineStr">
        <is>
          <t>Δ</t>
        </is>
      </c>
      <c r="R29" s="3" t="inlineStr"/>
      <c r="S29" s="3" t="inlineStr">
        <is>
          <t>E4, E27</t>
        </is>
      </c>
      <c r="T29" s="2" t="n">
        <v>16</v>
      </c>
    </row>
    <row r="30" ht="82" customHeight="1">
      <c r="A30" s="2" t="inlineStr">
        <is>
          <t>P-10</t>
        </is>
      </c>
      <c r="B30" s="3" t="inlineStr">
        <is>
          <t>POL</t>
        </is>
      </c>
      <c r="C30" s="2" t="inlineStr">
        <is>
          <t>Mandatory</t>
        </is>
      </c>
      <c r="D30" s="3" t="inlineStr">
        <is>
          <t>Periodic review: schedule, notify when due to begin and when due, SLA on overdue, outcomes</t>
        </is>
      </c>
      <c r="E30" s="3" t="inlineStr">
        <is>
          <t>Policy Maintenance</t>
        </is>
      </c>
      <c r="F30" s="3" t="inlineStr">
        <is>
          <t>The system shall support periodic reviews through scheduling, notification when a review is due to begin and when due, service-level tracking of overdue reviews, and documentation of review outcomes.</t>
        </is>
      </c>
      <c r="G30" s="3" t="inlineStr">
        <is>
          <t>Review cycles are opened and concluded with an outcome on /policy (horizon.open_review and conclude_review). The daily reminders.daily sends policy.review_cycle.starting, …due_soon, …overdue and …escalated, and policy.review.due_soon, …overdue and …escalated for documents with no cycle open. Reminder Log de-duplicates. SLA POL-REVIEW-CYCLE times a cycle that is underway. "Policy reviews due" appears in /tasks.</t>
        </is>
      </c>
      <c r="H30" s="2" t="inlineStr">
        <is>
          <t>a</t>
        </is>
      </c>
      <c r="I30" s="3" t="inlineStr">
        <is>
          <t>(a) Portal screen</t>
        </is>
      </c>
      <c r="J30" s="3" t="inlineStr">
        <is>
          <t>GDOC-00003 overdue: RMDL-00001 overdue, RMDL-00002 escalated. PRVC-00005 overdue and escalated (RMDL-00003 and 00004), and its SLA clock Breached. PRVC-00004 concluded "Minor Update".</t>
        </is>
      </c>
      <c r="K30" s="3" t="inlineStr">
        <is>
          <t>consilium_core.tests.test_reminders.TestDocumentReviewReminders (all 9); policy.tests.test_portal_actions.TestReviewsAndScans (all 7); test_entities.TestReviewCycle (all 4); test_repository.TestGoverningDocument.test_review_date_derives_from_cadence</t>
        </is>
      </c>
      <c r="L30" s="3" t="inlineStr">
        <is>
          <t>Pass</t>
        </is>
      </c>
      <c r="M30" s="3" t="inlineStr">
        <is>
          <t>✅</t>
        </is>
      </c>
      <c r="N30" s="3" t="inlineStr">
        <is>
          <t>Direct test</t>
        </is>
      </c>
      <c r="O30" s="2" t="n">
        <v>23</v>
      </c>
      <c r="P30" s="3" t="inlineStr">
        <is>
          <t>Config + Build — Document Review Cycle record; scheduled job; build for the service-level clock.</t>
        </is>
      </c>
      <c r="Q30" s="2" t="inlineStr"/>
      <c r="R30" s="3" t="inlineStr"/>
      <c r="S30" s="3" t="inlineStr">
        <is>
          <t>E29</t>
        </is>
      </c>
      <c r="T30" s="2" t="n">
        <v>3</v>
      </c>
    </row>
    <row r="31" ht="69" customHeight="1">
      <c r="A31" s="2" t="inlineStr">
        <is>
          <t>P-11</t>
        </is>
      </c>
      <c r="B31" s="3" t="inlineStr">
        <is>
          <t>POL</t>
        </is>
      </c>
      <c r="C31" s="2" t="inlineStr">
        <is>
          <t>Mandatory</t>
        </is>
      </c>
      <c r="D31" s="3" t="inlineStr">
        <is>
          <t>Monitoring: define, schedule, notify when due, log results, dashboard</t>
        </is>
      </c>
      <c r="E31" s="3" t="inlineStr">
        <is>
          <t>Monitoring and Control Activities</t>
        </is>
      </c>
      <c r="F31" s="3" t="inlineStr">
        <is>
          <t>The system shall allow monitoring activities to be defined, scheduled, tracked and reported per governing document; send notifications when they fall due; log their results; present a dashboard of monitoring outcomes for the enterprise policy office; and maintain auditable records.</t>
        </is>
      </c>
      <c r="G31" s="3" t="inlineStr">
        <is>
          <t>Monitoring Activity is defined on the desk. Results are recorded on /policy (monitoring.record_result, which moves next_due_on forward). The daily reminders.remind_monitoring sends due soon, overdue and escalated to the document owner. The "Monitoring outcomes" section on /reports exports to CSV.</t>
        </is>
      </c>
      <c r="H31" s="2" t="inlineStr">
        <is>
          <t>a</t>
        </is>
      </c>
      <c r="I31" s="3" t="inlineStr">
        <is>
          <t>(a) Portal screen</t>
        </is>
      </c>
      <c r="J31" s="3" t="inlineStr">
        <is>
          <t>PMON-00001 due 2026-08-15 is overdue and was chased (RMDL-00006, escalated RMDL-00007). PMON-00003 was chased too (RMDL-00008 and 00009). 10 results; PMRS-00003 Not Effective → PVIO-00002.</t>
        </is>
      </c>
      <c r="K31" s="3" t="inlineStr">
        <is>
          <t>policy.tests.test_monitoring.TestMonitoring (all 4); policy.tests.test_portal_actions.TestMonitoring (all 8); consilium_core.tests.test_reminders.TestMonitoringReminders (all 2); policy.tests.test_wave3.TestReporting (all 3)</t>
        </is>
      </c>
      <c r="L31" s="3" t="inlineStr">
        <is>
          <t>Pass</t>
        </is>
      </c>
      <c r="M31" s="3" t="inlineStr">
        <is>
          <t>✅</t>
        </is>
      </c>
      <c r="N31" s="3" t="inlineStr">
        <is>
          <t>Direct test</t>
        </is>
      </c>
      <c r="O31" s="2" t="n">
        <v>21</v>
      </c>
      <c r="P31" s="3" t="inlineStr">
        <is>
          <t>Config + Build — Monitoring Activity and Monitoring Result DocTypes; scheduled job; dashboard.</t>
        </is>
      </c>
      <c r="Q31" s="2" t="inlineStr"/>
      <c r="R31" s="3" t="inlineStr"/>
      <c r="S31" s="3" t="inlineStr">
        <is>
          <t>E15, E29</t>
        </is>
      </c>
      <c r="T31" s="2" t="n">
        <v>8</v>
      </c>
    </row>
    <row r="32" ht="121" customHeight="1">
      <c r="A32" s="2" t="inlineStr">
        <is>
          <t>P-12</t>
        </is>
      </c>
      <c r="B32" s="3" t="inlineStr">
        <is>
          <t>POL</t>
        </is>
      </c>
      <c r="C32" s="2" t="inlineStr">
        <is>
          <t>Mandatory</t>
        </is>
      </c>
      <c r="D32" s="3" t="inlineStr">
        <is>
          <t>Policy reporting: status, lifecycle, coverage; drill-down; families, reviews, monitoring, exceptions, violations; export</t>
        </is>
      </c>
      <c r="E32" s="3" t="inlineStr">
        <is>
          <t>Reporting and Dashboards</t>
        </is>
      </c>
      <c r="F32" s="3" t="inlineStr">
        <is>
          <t>The system shall provide reporting and dashboards for oversight of policy governance enterprise-wide, showing status, lifecycle progression, compliance, coverage and performance. Reporting shall support filtering, aggregation and drill-down by document type, lifecycle status, ownership, risk category, legal entity, applicability, review status and service-level performance. Dashboards shall present current and historical views including document families, parent-child relationships, upcoming and overdue reviews, monitoring outcomes, exceptions and violations, with export for management, audit and regulatory needs.</t>
        </is>
      </c>
      <c r="G32" s="3" t="inlineStr">
        <is>
          <t>The /reports documents section counts by phase, type, group and handling. Upcoming, overdue and no-review counts drill into /policies?standing=…. Missing metadata is listed. Families, monitoring outcomes, open violations by severity, exceptions, and review and retirement dispositions come from reporting.policy_sections, all over what the viewer may read, each with CSV export. SLA clocks are counted by DocType. Gap: drill-down by legal entity and applicability exists only through the desk report builder (DK-5, named in the trace), not on /policies.</t>
        </is>
      </c>
      <c r="H32" s="2" t="inlineStr">
        <is>
          <t>a</t>
        </is>
      </c>
      <c r="I32" s="3" t="inlineStr">
        <is>
          <t>(a) Portal screen</t>
        </is>
      </c>
      <c r="J32" s="3" t="inlineStr">
        <is>
          <t>15 documents across Draft, Review, Approved, Published, Implemented and Retired; 5 violations; 13 dispositions (PDSP-00001…13).</t>
        </is>
      </c>
      <c r="K32" s="3" t="inlineStr">
        <is>
          <t>policy.tests.test_wave3.TestReporting (all 3); consilium_core.tests.test_portal_pages.TestEveryPageIsCovered (all 1)</t>
        </is>
      </c>
      <c r="L32" s="3" t="inlineStr">
        <is>
          <t>Pass (qualified)</t>
        </is>
      </c>
      <c r="M32" s="3" t="inlineStr">
        <is>
          <t>✅ (sections and export; the browser-side counts are covered only by the page-render tests)</t>
        </is>
      </c>
      <c r="N32" s="3" t="inlineStr">
        <is>
          <t>Direct test</t>
        </is>
      </c>
      <c r="O32" s="2" t="n">
        <v>6</v>
      </c>
      <c r="P32" s="3" t="inlineStr">
        <is>
          <t>Native + Build — as G-12.</t>
        </is>
      </c>
      <c r="Q32" s="2" t="inlineStr"/>
      <c r="R32" s="3" t="inlineStr">
        <is>
          <t>No direct test</t>
        </is>
      </c>
      <c r="S32" s="3" t="inlineStr">
        <is>
          <t>E20, E33</t>
        </is>
      </c>
      <c r="T32" s="2" t="n">
        <v>6</v>
      </c>
    </row>
    <row r="33" ht="134" customHeight="1">
      <c r="A33" s="2" t="inlineStr">
        <is>
          <t>P-13</t>
        </is>
      </c>
      <c r="B33" s="3" t="inlineStr">
        <is>
          <t>POL</t>
        </is>
      </c>
      <c r="C33" s="2" t="inlineStr">
        <is>
          <t>Mandatory</t>
        </is>
      </c>
      <c r="D33" s="3" t="inlineStr">
        <is>
          <t>RBAC, segregation of duties, delegation; restricted-document controls; access changes logged</t>
        </is>
      </c>
      <c r="E33" s="3" t="inlineStr">
        <is>
          <t>Role-Based Access Control</t>
        </is>
      </c>
      <c r="F33" s="3" t="inlineStr">
        <is>
          <t>The system shall restrict access to documents, data and actions by defined role, responsibility and delegated authority, enforcing segregation of duties over creation, editing, review, approval, monitoring, reporting, upload and publication. Roles shall be configurable and shall include Policy Owner, Reviewer, Approver, Viewer, Administrator and organisational groupings. Delegation shall be supported with accountability and auditability. Enhanced controls shall apply to confidential and restricted documents, limiting view, download, print and share to authorized users. All access assignments, changes and actions shall be logged.</t>
        </is>
      </c>
      <c r="G33" s="3" t="inlineStr">
        <is>
          <t>Roles are enforced server-side (DK-2). lifecycle.authorise applies segregation of duties per action: no one bypasses their own step or approves their own gate exception. Authority Delegation is kept, with a daily refresh. Restricted-document gating is in policy/handling.py (see P-1). Refused loosening is logged, and change tracking is on.</t>
        </is>
      </c>
      <c r="H33" s="2" t="inlineStr">
        <is>
          <t>a</t>
        </is>
      </c>
      <c r="I33" s="3" t="inlineStr">
        <is>
          <t>(a) Portal screen</t>
        </is>
      </c>
      <c r="J33" s="3" t="inlineStr">
        <is>
          <t>GDOC-00015 Restricted; GDOC-00010 Confidential; 4 delegations (ADEL-00001…04).</t>
        </is>
      </c>
      <c r="K33" s="3" t="inlineStr">
        <is>
          <t>test_repository.TestGoverningDocument.test_a_reviewer_cannot_create_a_document, …test_a_policy_owner_cannot_delete_a_document, …test_the_policy_office_may_delete_a_document, …test_an_auditor_may_read_but_not_write; policy.tests.test_handling.TestVisibility (all 8), TestHandlingChanges (all 6); consilium_core.tests.test_delegation.TestDelegation (all 13); policy.tests.test_wave3.TestGateExceptions.test_nobody_approves_their_own_request</t>
        </is>
      </c>
      <c r="L33" s="3" t="inlineStr">
        <is>
          <t>Pass</t>
        </is>
      </c>
      <c r="M33" s="3" t="inlineStr">
        <is>
          <t>✅</t>
        </is>
      </c>
      <c r="N33" s="3" t="inlineStr">
        <is>
          <t>Direct test</t>
        </is>
      </c>
      <c r="O33" s="2" t="n">
        <v>35</v>
      </c>
      <c r="P33" s="3" t="inlineStr">
        <is>
          <t>Native + Config + Build — native role, permission-level and row-level permission engine; build for restricted-document action gating and the delegation register.</t>
        </is>
      </c>
      <c r="Q33" s="2" t="inlineStr">
        <is>
          <t>Δ</t>
        </is>
      </c>
      <c r="R33" s="3" t="inlineStr"/>
      <c r="S33" s="3" t="inlineStr">
        <is>
          <t>E2, E30</t>
        </is>
      </c>
      <c r="T33" s="2" t="n">
        <v>7</v>
      </c>
    </row>
    <row r="34" ht="186" customHeight="1">
      <c r="A34" s="2" t="inlineStr">
        <is>
          <t>P-14</t>
        </is>
      </c>
      <c r="B34" s="3" t="inlineStr">
        <is>
          <t>POL</t>
        </is>
      </c>
      <c r="C34" s="2" t="inlineStr">
        <is>
          <t>Mandatory</t>
        </is>
      </c>
      <c r="D34" s="3" t="inlineStr">
        <is>
          <t>Notifications across the lifecycle; templates with dynamic fields; email and in-app; conditional triggers</t>
        </is>
      </c>
      <c r="E34" s="3" t="inlineStr">
        <is>
          <t>Notifications</t>
        </is>
      </c>
      <c r="F34" s="3" t="inlineStr">
        <is>
          <t>The system shall send configurable, templated, automated notifications across every lifecycle stage — drafting comments and revisions, review, approval, publication, and maintenance activities including monitoring, annual assessments and periodic reviews — with templates carrying dynamic fields, multiple delivery channels (email, in-application) and conditional triggers on events, deadlines and service-level breaches.</t>
        </is>
      </c>
      <c r="G34" s="3" t="inlineStr">
        <is>
          <t>Notification Template (49 events, editable per channel on the desk, rendered in a Jinja sandbox) goes through notification.notify. There are e-mail (SMTP through the framework mail queue, or Microsoft Graph; hourly retry), in-app and record channels. Policy events: review and review-cycle due, starting, overdue and escalated; monitoring due, overdue and escalated; audience on publish, change and retire; review disposition (return with comments, accept); gate exception approved; attestation opened; horizon scan due; SLA warning and breach; regulatory change; approval step requested, decided and bypassed (policy.approval.requested, policy.approval.decided, policy.approval.bypassed, raised by policy/routing.py and seeded on migrate). Templates and channels are configured on the desk (DK-7) and events are raised by hooks and jobs (BG), as the trace names. The approver is also shown the step in /tasks.</t>
        </is>
      </c>
      <c r="H34" s="2" t="inlineStr">
        <is>
          <t>b</t>
        </is>
      </c>
      <c r="I34" s="3" t="inlineStr">
        <is>
          <t>(b) Desk / config / job by design</t>
        </is>
      </c>
      <c r="J34" s="3" t="inlineStr">
        <is>
          <t>79 e-mail dispatches on Governing Document subjects, for example "Review Accepted: …", "Retired: Vendor Management Standard (GDOC-00013)", "Escalated: review of Operational Risk Ma…".</t>
        </is>
      </c>
      <c r="K34" s="3" t="inlineStr">
        <is>
          <t>consilium_core.tests.test_notification_templates.TestEventApi (all 10), TestSeeding (all 2); policy.tests.test_wave3_policy.TestAudienceNotice (all 1); policy.tests.test_wave3.TestChangeAndRetirement (all 6), TestReviewerReturn.test_a_reviewer_returns_with_comments_and_the_owner_is_told; consilium_core.tests.test_reminders.TestDocumentReviewReminders (all 9); policy.tests.test_portal_actions.TestApprovalChain (all 15, including the approver being told when steps are raised); consilium_core.tests.test_graph_mail.TestTheDispatchRecord (all 7)</t>
        </is>
      </c>
      <c r="L34" s="3" t="inlineStr">
        <is>
          <t>Pass</t>
        </is>
      </c>
      <c r="M34" s="3" t="inlineStr">
        <is>
          <t>✅</t>
        </is>
      </c>
      <c r="N34" s="3" t="inlineStr">
        <is>
          <t>Direct test</t>
        </is>
      </c>
      <c r="O34" s="2" t="n">
        <v>57</v>
      </c>
      <c r="P34" s="3" t="inlineStr">
        <is>
          <t>Native + Config + Build — as G-14.</t>
        </is>
      </c>
      <c r="Q34" s="2" t="inlineStr">
        <is>
          <t>Δ</t>
        </is>
      </c>
      <c r="R34" s="3" t="inlineStr"/>
      <c r="S34" s="3" t="inlineStr">
        <is>
          <t>E19, E29, E36</t>
        </is>
      </c>
      <c r="T34" s="2" t="n">
        <v>12</v>
      </c>
    </row>
    <row r="35" ht="134" customHeight="1">
      <c r="A35" s="2" t="inlineStr">
        <is>
          <t>P-15</t>
        </is>
      </c>
      <c r="B35" s="3" t="inlineStr">
        <is>
          <t>POL</t>
        </is>
      </c>
      <c r="C35" s="2" t="inlineStr">
        <is>
          <t>Mandatory</t>
        </is>
      </c>
      <c r="D35" s="3" t="inlineStr">
        <is>
          <t>Templates per type and action; cover metadata; enforce naming conventions and required fields</t>
        </is>
      </c>
      <c r="E35" s="3" t="inlineStr">
        <is>
          <t>Document Templates</t>
        </is>
      </c>
      <c r="F35" s="3" t="inlineStr">
        <is>
          <t>The system shall allow templates to be created and configured per document type and per action (new, edit, retire, review), aligned to the corporate format including a cover page carrying required metadata, predefined sections and formatting. New document types and templates shall be creatable without custom development. Templates shall enforce standardized naming conventions and required fields, and shall carry hyperlinks to related documents and regulatory references. Collaboration for real-time feedback, revision, redlining and version comparison during drafting and review is provided by the external document editor.</t>
        </is>
      </c>
      <c r="G35" s="3" t="inlineStr">
        <is>
          <t>Document Template with sections, template file, required_fields (feeding the "Required Metadata Complete" gate) and the naming pattern, per type and action, on the desk (DK-1). policy/naming.py checks the name against the active New template's pattern on every save (desk, REST, portal) and at intake classification. The message gives the expected form. The template file and sections are not offered on the portal.</t>
        </is>
      </c>
      <c r="H35" s="2" t="inlineStr">
        <is>
          <t>b</t>
        </is>
      </c>
      <c r="I35" s="3" t="inlineStr">
        <is>
          <t>(b) Desk / config / job by design</t>
        </is>
      </c>
      <c r="J35" s="3" t="inlineStr">
        <is>
          <t>5 templates, for example "Policy — new issue" with pattern &lt;Subject&gt; Policy.</t>
        </is>
      </c>
      <c r="K35" s="3" t="inlineStr">
        <is>
          <t>policy.tests.test_naming_glossary.TestNamingPattern (all 1), TestNamingEnforcement (all 7); policy.tests.test_entities.TestDocumentTemplate (all 4)</t>
        </is>
      </c>
      <c r="L35" s="3" t="inlineStr">
        <is>
          <t>Pass</t>
        </is>
      </c>
      <c r="M35" s="3" t="inlineStr">
        <is>
          <t>✅</t>
        </is>
      </c>
      <c r="N35" s="3" t="inlineStr">
        <is>
          <t>Direct test</t>
        </is>
      </c>
      <c r="O35" s="2" t="n">
        <v>14</v>
      </c>
      <c r="P35" s="3" t="inlineStr">
        <is>
          <t>Config + Build — Document Template DocType; build for naming-convention enforcement. Collaborative drafting is out of scope here.</t>
        </is>
      </c>
      <c r="Q35" s="2" t="inlineStr">
        <is>
          <t>Δ</t>
        </is>
      </c>
      <c r="R35" s="3" t="inlineStr"/>
      <c r="S35" s="3" t="inlineStr">
        <is>
          <t>E30</t>
        </is>
      </c>
      <c r="T35" s="2" t="n">
        <v>2</v>
      </c>
    </row>
    <row r="36" ht="121" customHeight="1">
      <c r="A36" s="2" t="inlineStr">
        <is>
          <t>P-16</t>
        </is>
      </c>
      <c r="B36" s="3" t="inlineStr">
        <is>
          <t>POL</t>
        </is>
      </c>
      <c r="C36" s="2" t="inlineStr">
        <is>
          <t>Mandatory</t>
        </is>
      </c>
      <c r="D36" s="3" t="inlineStr">
        <is>
          <t>Intake form; dynamic question set classifies major or minor, driving routing and SLA; trace retained</t>
        </is>
      </c>
      <c r="E36" s="3" t="inlineStr">
        <is>
          <t>Intake Templates and Change Classification</t>
        </is>
      </c>
      <c r="F36" s="3" t="inlineStr">
        <is>
          <t>The system shall provide a configurable intake form for requests to create, change or retire a governing document. For a change to an existing document the system shall present a dynamic set of questions whose answers determine whether the change is major or minor, and that classification shall drive approval requirements, review steps, service levels and escalation paths. The system shall enforce required fields and naming conventions, and shall retain version history and the rationale for each classification, with a full audit trail of intake submissions, classification logic applied and workflow actions taken.</t>
        </is>
      </c>
      <c r="G36" s="3" t="inlineStr">
        <is>
          <t>The /policy-intake screen raises the request, answers the rule set's questions (dependent questions shown), classifies (intake.classify_request) and shows the rule that fired with its trace. The requester challenges; the policy office overrides with a justification (original kept) and creates the document. Withdrawal is recorded with a reason. The Core rules engine is versioned and sealed. Classification selects the route and starts the SLA clock. Naming is checked at intake.</t>
        </is>
      </c>
      <c r="H36" s="2" t="inlineStr">
        <is>
          <t>a</t>
        </is>
      </c>
      <c r="I36" s="3" t="inlineStr">
        <is>
          <t>(a) Portal screen</t>
        </is>
      </c>
      <c r="J36" s="3" t="inlineStr">
        <is>
          <t>PINT-00001 → CASS-00001 Major (R10) → GDOC-00006. PINT-00002 → CASS-00002 Minor (R20) → GDOC-00011. PINT-00008 classified on the portal as CASS-00005 Minor. Rule set CRS-00001 v1.0.</t>
        </is>
      </c>
      <c r="K36" s="3" t="inlineStr">
        <is>
          <t>policy.tests.test_portal_actions.TestIntake (all 12), TestPages.test_the_intake_page_renders; policy.tests.test_intake.TestClassification (all 10), TestIntakeRequest (all 4), TestClassificationDrivesRoutingAndService (all 5); consilium_core.tests.test_classification.TestClassification (all 16)</t>
        </is>
      </c>
      <c r="L36" s="3" t="inlineStr">
        <is>
          <t>Pass</t>
        </is>
      </c>
      <c r="M36" s="3" t="inlineStr">
        <is>
          <t>✅</t>
        </is>
      </c>
      <c r="N36" s="3" t="inlineStr">
        <is>
          <t>Direct test</t>
        </is>
      </c>
      <c r="O36" s="2" t="n">
        <v>51</v>
      </c>
      <c r="P36" s="3" t="inlineStr">
        <is>
          <t>Build — an admin-configured rules engine: question sets, answer options, rules and resulting classification, evaluated at submission and recorded with the evaluation trace.</t>
        </is>
      </c>
      <c r="Q36" s="2" t="inlineStr">
        <is>
          <t>Δ</t>
        </is>
      </c>
      <c r="R36" s="3" t="inlineStr"/>
      <c r="S36" s="3" t="inlineStr">
        <is>
          <t>E13, E27</t>
        </is>
      </c>
      <c r="T36" s="2" t="n">
        <v>16</v>
      </c>
    </row>
    <row r="37" ht="95" customHeight="1">
      <c r="A37" s="2" t="inlineStr">
        <is>
          <t>P-17</t>
        </is>
      </c>
      <c r="B37" s="3" t="inlineStr">
        <is>
          <t>POL</t>
        </is>
      </c>
      <c r="C37" s="2" t="inlineStr">
        <is>
          <t>Mandatory</t>
        </is>
      </c>
      <c r="D37" s="3" t="inlineStr">
        <is>
          <t>Attach any documents; audit log</t>
        </is>
      </c>
      <c r="E37" s="3" t="inlineStr">
        <is>
          <t>Document Management</t>
        </is>
      </c>
      <c r="F37" s="3" t="inlineStr">
        <is>
          <t>The system shall allow documents to be attached with no limitation on type or number, and shall present an audit log of all activity.</t>
        </is>
      </c>
      <c r="G37" s="3" t="inlineStr">
        <is>
          <t>Native attachments (desk, DK-6); body files uploaded from /policy are attached privately. The change log is on /policy. record_history (changes, comments and notifications) and the evidence-pack ZIP with a SHA-256 manifest come from evidence.export_pack on /policy.</t>
        </is>
      </c>
      <c r="H37" s="2" t="inlineStr">
        <is>
          <t>b</t>
        </is>
      </c>
      <c r="I37" s="3" t="inlineStr">
        <is>
          <t>(b) Desk / config / job by design</t>
        </is>
      </c>
      <c r="J37" s="3" t="inlineStr">
        <is>
          <t>55 Version rows and 47 comments on governing documents; 1 file attachment.</t>
        </is>
      </c>
      <c r="K37" s="3" t="inlineStr">
        <is>
          <t>test_repository.TestGoverningDocument.test_update_is_tracked; policy.tests.test_handling.TestActions.test_an_attached_file_follows_the_download_flag_and_the_owner_may_always_download; policy.tests.test_portal_actions.TestVersions.test_a_file_attached_to_the_document_becomes_a_version; consilium_core.tests.test_core_controls_wave3.TestHistoryAndEvidencePack (all 4)</t>
        </is>
      </c>
      <c r="L37" s="3" t="inlineStr">
        <is>
          <t>Pass (qualified)</t>
        </is>
      </c>
      <c r="M37" s="3" t="inlineStr">
        <is>
          <t>✅ (tracking switched on; the framework writes no Version rows under test)</t>
        </is>
      </c>
      <c r="N37" s="3" t="inlineStr">
        <is>
          <t>Direct test</t>
        </is>
      </c>
      <c r="O37" s="2" t="n">
        <v>10</v>
      </c>
      <c r="P37" s="3" t="inlineStr">
        <is>
          <t>Native — native attachment and activity log.</t>
        </is>
      </c>
      <c r="Q37" s="2" t="inlineStr"/>
      <c r="R37" s="3" t="inlineStr">
        <is>
          <t>No direct test</t>
        </is>
      </c>
      <c r="S37" s="3" t="inlineStr">
        <is>
          <t>E5</t>
        </is>
      </c>
      <c r="T37" s="2" t="n">
        <v>5</v>
      </c>
    </row>
    <row r="38" ht="95" customHeight="1">
      <c r="A38" s="2" t="inlineStr">
        <is>
          <t>P-18</t>
        </is>
      </c>
      <c r="B38" s="3" t="inlineStr">
        <is>
          <t>POL</t>
        </is>
      </c>
      <c r="C38" s="2" t="inlineStr">
        <is>
          <t>Mandatory</t>
        </is>
      </c>
      <c r="D38" s="3" t="inlineStr">
        <is>
          <t>Retention and WORM</t>
        </is>
      </c>
      <c r="E38" s="3" t="inlineStr">
        <is>
          <t>Data and Document Retention</t>
        </is>
      </c>
      <c r="F38" s="3" t="inlineStr">
        <is>
          <t>The system shall retain data and documents in accordance with the applicable retention policy and requirements, and shall hold documents and data in a write-once, read-many form for the duration of their retention period.</t>
        </is>
      </c>
      <c r="G38" s="3" t="inlineStr">
        <is>
          <t>Core retention guards (wildcard before_validate and on_trash), legal hold, and daily retention.flag_due_for_disposal, which raises a Disposition Event awaiting approval and deletes nothing. A retired document records its retention position in Document Disposition. Gap: executing a disposal (retention.execute_disposition) has no caller outside tests, so it is reachable from code only. Retention Assignment and Legal Hold are desk records.</t>
        </is>
      </c>
      <c r="H38" s="2" t="inlineStr">
        <is>
          <t>c</t>
        </is>
      </c>
      <c r="I38" s="3" t="inlineStr">
        <is>
          <t>(c) Partly reachable</t>
        </is>
      </c>
      <c r="J38" s="3" t="inlineStr">
        <is>
          <t>All 15 documents carry retention_class POL-DOCUMENT, but there are 0 Retention Assignments, 0 Legal Holds and 0 Disposition Events on the demo. PDSP-00013 records GDOC-00013's retirement.</t>
        </is>
      </c>
      <c r="K38" s="3" t="inlineStr">
        <is>
          <t>consilium_core.tests.test_retention.TestRetention (all 14); consilium_core.tests.test_core_controls_wave3.TestScheduledDisposalReview (all 5)</t>
        </is>
      </c>
      <c r="L38" s="3" t="inlineStr">
        <is>
          <t>Pass</t>
        </is>
      </c>
      <c r="M38" s="3" t="inlineStr">
        <is>
          <t>✅</t>
        </is>
      </c>
      <c r="N38" s="3" t="inlineStr">
        <is>
          <t>Direct test</t>
        </is>
      </c>
      <c r="O38" s="2" t="n">
        <v>21</v>
      </c>
      <c r="P38" s="3" t="inlineStr">
        <is>
          <t>Build — as G-16.</t>
        </is>
      </c>
      <c r="Q38" s="2" t="inlineStr">
        <is>
          <t>Δ</t>
        </is>
      </c>
      <c r="R38" s="3" t="inlineStr">
        <is>
          <t>Class (c)</t>
        </is>
      </c>
      <c r="S38" s="3" t="inlineStr">
        <is>
          <t>E5</t>
        </is>
      </c>
      <c r="T38" s="2" t="n">
        <v>5</v>
      </c>
    </row>
    <row r="39" ht="82" customHeight="1">
      <c r="A39" s="2" t="inlineStr">
        <is>
          <t>P-19</t>
        </is>
      </c>
      <c r="B39" s="3" t="inlineStr">
        <is>
          <t>POL</t>
        </is>
      </c>
      <c r="C39" s="2" t="inlineStr">
        <is>
          <t>Mandatory</t>
        </is>
      </c>
      <c r="D39" s="3" t="inlineStr">
        <is>
          <t>Publish to audiences with view-only, print or download renditions; retain retired and superseded</t>
        </is>
      </c>
      <c r="E39" s="3" t="inlineStr">
        <is>
          <t>Publication</t>
        </is>
      </c>
      <c r="F39" s="3" t="inlineStr">
        <is>
          <t>The system shall publish governing documents with controlled access — general population, restricted, or targeted groups — supporting view-only, print-enabled and downloadable renditions according to role-based permission. Retired and superseded documents shall be retained with their version history.</t>
        </is>
      </c>
      <c r="G39" s="3" t="inlineStr">
        <is>
          <t>/policy Publish: publication.audience_preview first, then publish_record (All Employees, restricted or targeted groups; rendition flags), and withdraw_publication. The audience is told through policy.document.audience. Renditions are enforced by handling.rendition on print, download and /document-view. Retired and superseded documents keep their chain.</t>
        </is>
      </c>
      <c r="H39" s="2" t="inlineStr">
        <is>
          <t>a</t>
        </is>
      </c>
      <c r="I39" s="3" t="inlineStr">
        <is>
          <t>(a) Portal screen</t>
        </is>
      </c>
      <c r="J39" s="3" t="inlineStr">
        <is>
          <t>PPUB-00008: GDOC-00010, Targeted Groups, view-only. GDOC-00013 Vendor Management Standard: Retired, superseded by GDOC-00005, 11 publications.</t>
        </is>
      </c>
      <c r="K39" s="3" t="inlineStr">
        <is>
          <t>policy.tests.test_portal_actions.TestPublication (all 7); policy.tests.test_handling.TestActions.test_a_view_only_rendition_closes_download_even_when_the_document_allows_it; test_lifecycle.TestVersioningAndPublication.test_a_view_only_rendition_closes_print_and_download</t>
        </is>
      </c>
      <c r="L39" s="3" t="inlineStr">
        <is>
          <t>Pass</t>
        </is>
      </c>
      <c r="M39" s="3" t="inlineStr">
        <is>
          <t>✅</t>
        </is>
      </c>
      <c r="N39" s="3" t="inlineStr">
        <is>
          <t>Direct test</t>
        </is>
      </c>
      <c r="O39" s="2" t="n">
        <v>11</v>
      </c>
      <c r="P39" s="3" t="inlineStr">
        <is>
          <t>Build — Document Publication record carrying audience and permitted renditions; build for the rendition-permission gate.</t>
        </is>
      </c>
      <c r="Q39" s="2" t="inlineStr"/>
      <c r="R39" s="3" t="inlineStr"/>
      <c r="S39" s="3" t="inlineStr">
        <is>
          <t>E27, E30</t>
        </is>
      </c>
      <c r="T39" s="2" t="n">
        <v>14</v>
      </c>
    </row>
    <row r="40" ht="173" customHeight="1">
      <c r="A40" s="2" t="inlineStr">
        <is>
          <t>P-20</t>
        </is>
      </c>
      <c r="B40" s="3" t="inlineStr">
        <is>
          <t>POL</t>
        </is>
      </c>
      <c r="C40" s="2" t="inlineStr">
        <is>
          <t>Mandatory</t>
        </is>
      </c>
      <c r="D40" s="3" t="inlineStr">
        <is>
          <t>Governed exchange: mapped, validated, handling rules, traceable</t>
        </is>
      </c>
      <c r="E40" s="3" t="inlineStr">
        <is>
          <t>Integration Capabilities</t>
        </is>
      </c>
      <c r="F40" s="3" t="inlineStr">
        <is>
          <t>The system shall exchange policy data consistently with enterprise risk, governance and related platforms, keeping policy information, metadata and relationships aligned with authoritative sources. Inbound and outbound exchanges shall be field-mapped and configurable for source/target compatibility; alignment to enterprise taxonomies (organisational hierarchy, primary risk category, material entity) shall be maintained; handling rules shall be defined for invalid, missing or incomplete data; integration methods and frequency shall be configurable; exchanges shall support enterprise records management and retention, and enterprise identity for user selection, organisational alignment and notification routing; inbound and outbound data shall be validated for completeness and integrity; and all integration activity shall be traceable for audit and compliance.</t>
        </is>
      </c>
      <c r="G40" s="3" t="inlineStr">
        <is>
          <t>Inbound goes through /imports (CS-11): upload with a hash, mapping, validation, per-row review, exclude, revalidate, commit and discard, all batch-logged. Gap: the governed outbound export (importing.export_records, which writes an Export Batch) has no caller outside tests. Policy data leaves only as the /reports CSV (reporting.export, not batch-logged or mapped) or through desk report export. No import profile targets Governing Document.</t>
        </is>
      </c>
      <c r="H40" s="2" t="inlineStr">
        <is>
          <t>c</t>
        </is>
      </c>
      <c r="I40" s="3" t="inlineStr">
        <is>
          <t>(c) Partly reachable</t>
        </is>
      </c>
      <c r="J40" s="3" t="inlineStr">
        <is>
          <t>IMPP-00001 Regulatory changes (seeded); IMPB-00001 is an escalation batch. No policy-document batch and no Export Batch.</t>
        </is>
      </c>
      <c r="K40" s="3" t="inlineStr">
        <is>
          <t>consilium_core.tests.test_import_pipeline.TestImportPipeline (all 9); consilium_core.tests.test_imports_portal.TestUpload (all 5), TestReview (all 7), TestDiscard (all 1), TestMethods (all 1); policy.tests.test_wave3.TestRegulatoryChangeImport (all 2)</t>
        </is>
      </c>
      <c r="L40" s="3" t="inlineStr">
        <is>
          <t>Pass</t>
        </is>
      </c>
      <c r="M40" s="3" t="inlineStr">
        <is>
          <t>✅</t>
        </is>
      </c>
      <c r="N40" s="3" t="inlineStr">
        <is>
          <t>Direct test</t>
        </is>
      </c>
      <c r="O40" s="2" t="n">
        <v>28</v>
      </c>
      <c r="P40" s="3" t="inlineStr">
        <is>
          <t>Build — the manual/file import and export service, with mapping, validation, handling rules and a traceable batch log. Identity alignment is satisfied by app-native users with pluggable single sign-on.</t>
        </is>
      </c>
      <c r="Q40" s="2" t="inlineStr">
        <is>
          <t>Δ</t>
        </is>
      </c>
      <c r="R40" s="3" t="inlineStr">
        <is>
          <t>Class (c)</t>
        </is>
      </c>
      <c r="S40" s="3" t="inlineStr">
        <is>
          <t>E21, E28</t>
        </is>
      </c>
      <c r="T40" s="2" t="n">
        <v>7</v>
      </c>
    </row>
    <row r="41" ht="95" customHeight="1">
      <c r="A41" s="2" t="inlineStr">
        <is>
          <t>P-21</t>
        </is>
      </c>
      <c r="B41" s="3" t="inlineStr">
        <is>
          <t>POL</t>
        </is>
      </c>
      <c r="C41" s="2" t="inlineStr">
        <is>
          <t>Mandatory</t>
        </is>
      </c>
      <c r="D41" s="3" t="inlineStr">
        <is>
          <t>Applicability and exemptions; notify applicable parties on create, change, retire</t>
        </is>
      </c>
      <c r="E41" s="3" t="inlineStr">
        <is>
          <t>Applicability Management</t>
        </is>
      </c>
      <c r="F41" s="3" t="inlineStr">
        <is>
          <t>The system shall maintain applicability for each governing document and notify applicable parties automatically when a document is created, changed or retired. Applicability shall cover business units, subsidiaries and material entities; jurisdictions at provincial, federal and international level; roles or functions responsible for compliance; and formal exemptions and deviations with their approvals.</t>
        </is>
      </c>
      <c r="G41" s="3" t="inlineStr">
        <is>
          <t>Document Applicability and Applicability Exemption are captured on the desk and shown on /policy, with a daily lapse of expired exemptions. The audience is resolved at the time (applicability.affected_parties), and the publish panel previews it. First publication raises policy.document.audience; a new version in force raises policy.document.changed and retirement policy.document.retired (disposition.py, from on_update).</t>
        </is>
      </c>
      <c r="H41" s="2" t="inlineStr">
        <is>
          <t>a</t>
        </is>
      </c>
      <c r="I41" s="3" t="inlineStr">
        <is>
          <t>(a) Portal screen</t>
        </is>
      </c>
      <c r="J41" s="3" t="inlineStr">
        <is>
          <t>GDOC-00010: PEXM-00001 authorised Legal Entity exemption; PEXM-00002 deviation requested on GDOC-00004. Retirement notice sent for GDOC-00013.</t>
        </is>
      </c>
      <c r="K41" s="3" t="inlineStr">
        <is>
          <t>test_repository.TestApplicability (all 8); test_entities.TestExemptionLifecycle (all 5); policy.tests.test_wave3.TestChangeAndRetirement (all 6); policy.tests.test_portal_actions.TestPublication.test_the_office_records_a_publication_and_the_audience_is_told</t>
        </is>
      </c>
      <c r="L41" s="3" t="inlineStr">
        <is>
          <t>Pass</t>
        </is>
      </c>
      <c r="M41" s="3" t="inlineStr">
        <is>
          <t>✅</t>
        </is>
      </c>
      <c r="N41" s="3" t="inlineStr">
        <is>
          <t>Direct test</t>
        </is>
      </c>
      <c r="O41" s="2" t="n">
        <v>22</v>
      </c>
      <c r="P41" s="3" t="inlineStr">
        <is>
          <t>Config + Build — Document Applicability child table and Applicability Exemption DocType; build for the notification fan-out to the resolved audience.</t>
        </is>
      </c>
      <c r="Q41" s="2" t="inlineStr"/>
      <c r="R41" s="3" t="inlineStr"/>
      <c r="S41" s="3" t="inlineStr">
        <is>
          <t>E11</t>
        </is>
      </c>
      <c r="T41" s="2" t="n">
        <v>5</v>
      </c>
    </row>
    <row r="42" ht="82" customHeight="1">
      <c r="A42" s="2" t="inlineStr">
        <is>
          <t>P-22</t>
        </is>
      </c>
      <c r="B42" s="3" t="inlineStr">
        <is>
          <t>POL</t>
        </is>
      </c>
      <c r="C42" s="2" t="inlineStr">
        <is>
          <t>Mandatory</t>
        </is>
      </c>
      <c r="D42" s="3" t="inlineStr">
        <is>
          <t>Violations captured, linkable to an external issue, auditable, reportable</t>
        </is>
      </c>
      <c r="E42" s="3" t="inlineStr">
        <is>
          <t>Violation and Issue Management</t>
        </is>
      </c>
      <c r="F42" s="3" t="inlineStr">
        <is>
          <t>The system shall capture policy violations — document reference, violation type, date, responsible party and corrective actions — and shall support linking a logged violation to an external issue-management record. All violations shall maintain an audit trail and be reportable for compliance monitoring and governance.</t>
        </is>
      </c>
      <c r="G42" s="3" t="inlineStr">
        <is>
          <t>Policy Violation is logged and moved on from /policy (monitoring.log_violation and update_violation). The controller refuses reopening, and refuses closing without a note. Violations appear on /policy and under "Open violations" on /reports, with CSV export. The external issue link (external_reference) and the escalation link are set on the desk (DK-1, named in the trace).</t>
        </is>
      </c>
      <c r="H42" s="2" t="inlineStr">
        <is>
          <t>a</t>
        </is>
      </c>
      <c r="I42" s="3" t="inlineStr">
        <is>
          <t>(a) Portal screen</t>
        </is>
      </c>
      <c r="J42" s="3" t="inlineStr">
        <is>
          <t>PVIO-00001 High on GDOC-00012 → ESC-2026-00009. PVIO-00002 on GDOC-00010 → ESC-2026-00003.</t>
        </is>
      </c>
      <c r="K42" s="3" t="inlineStr">
        <is>
          <t>policy.tests.test_monitoring.TestViolations (all 5); policy.tests.test_wave3.TestViolationTransitions (all 3), TestReporting (all 3); policy.tests.test_portal_actions.TestMonitoring.test_a_reviewer_logs_a_violation</t>
        </is>
      </c>
      <c r="L42" s="3" t="inlineStr">
        <is>
          <t>Pass</t>
        </is>
      </c>
      <c r="M42" s="3" t="inlineStr">
        <is>
          <t>✅</t>
        </is>
      </c>
      <c r="N42" s="3" t="inlineStr">
        <is>
          <t>Direct test</t>
        </is>
      </c>
      <c r="O42" s="2" t="n">
        <v>15</v>
      </c>
      <c r="P42" s="3" t="inlineStr">
        <is>
          <t>Config + Build — Policy Violation DocType; the external issue link is stored as a reference identifier plus an import/export mapping, not a live connector.</t>
        </is>
      </c>
      <c r="Q42" s="2" t="inlineStr">
        <is>
          <t>Δ</t>
        </is>
      </c>
      <c r="R42" s="3" t="inlineStr"/>
      <c r="S42" s="3" t="inlineStr">
        <is>
          <t>E15, E33</t>
        </is>
      </c>
      <c r="T42" s="2" t="n">
        <v>6</v>
      </c>
    </row>
    <row r="43" ht="82" customHeight="1">
      <c r="A43" s="2" t="inlineStr">
        <is>
          <t>P-23</t>
        </is>
      </c>
      <c r="B43" s="3" t="inlineStr">
        <is>
          <t>POL</t>
        </is>
      </c>
      <c r="C43" s="2" t="inlineStr">
        <is>
          <t>Mandatory</t>
        </is>
      </c>
      <c r="D43" s="3" t="inlineStr">
        <is>
          <t>Detect metadata left invalid (retired parent) and require realignment</t>
        </is>
      </c>
      <c r="E43" s="3" t="inlineStr">
        <is>
          <t>Metadata Integrity Maintenance</t>
        </is>
      </c>
      <c r="F43" s="3" t="inlineStr">
        <is>
          <t>The system shall allow document owners and the enterprise policy office to identify changes that leave required fields invalid — for example, where a required parent document is retired, the child document shall be notified and its owner required to realign to a new parent.</t>
        </is>
      </c>
      <c r="G43" s="3" t="inlineStr">
        <is>
          <t>on_update raises a Metadata Remediation Task when a parent leaves force. The task appears in /tasks under "Metadata to correct" and is corrected in place on /policy (metadata.correct_metadata, which resolves the task). /reports lists missing metadata with a "Correct in place" link.</t>
        </is>
      </c>
      <c r="H43" s="2" t="inlineStr">
        <is>
          <t>a</t>
        </is>
      </c>
      <c r="I43" s="3" t="inlineStr">
        <is>
          <t>(a) Portal screen</t>
        </is>
      </c>
      <c r="J43" s="3" t="inlineStr">
        <is>
          <t>GDOC-00013 retired → PMRT-00001 on GDOC-00014 (parent_document, "Parent Retired").</t>
        </is>
      </c>
      <c r="K43" s="3" t="inlineStr">
        <is>
          <t>policy.tests.test_monitoring.TestMetadataMaintenance (all 7); policy.tests.test_wave3.TestMetadataCorrection (all 3); policy.tests.test_regressions.TestReopening.test_reopening_a_parent_does_not_tell_its_children_their_parent_retired, …test_retiring_a_parent_still_tells_its_children, TestMaintenanceView (all 1)</t>
        </is>
      </c>
      <c r="L43" s="3" t="inlineStr">
        <is>
          <t>Pass</t>
        </is>
      </c>
      <c r="M43" s="3" t="inlineStr">
        <is>
          <t>✅</t>
        </is>
      </c>
      <c r="N43" s="3" t="inlineStr">
        <is>
          <t>Direct test</t>
        </is>
      </c>
      <c r="O43" s="2" t="n">
        <v>16</v>
      </c>
      <c r="P43" s="3" t="inlineStr">
        <is>
          <t>Build — referential-consequence detection on lifecycle transitions, raising a remediation task.</t>
        </is>
      </c>
      <c r="Q43" s="2" t="inlineStr"/>
      <c r="R43" s="3" t="inlineStr"/>
      <c r="S43" s="3" t="inlineStr">
        <is>
          <t>E15, E28</t>
        </is>
      </c>
      <c r="T43" s="2" t="n">
        <v>8</v>
      </c>
    </row>
    <row r="44" ht="95" customHeight="1">
      <c r="A44" s="2" t="inlineStr">
        <is>
          <t>P-24</t>
        </is>
      </c>
      <c r="B44" s="3" t="inlineStr">
        <is>
          <t>POL</t>
        </is>
      </c>
      <c r="C44" s="2" t="inlineStr">
        <is>
          <t>Mandatory</t>
        </is>
      </c>
      <c r="D44" s="3" t="inlineStr">
        <is>
          <t>Glossary at enterprise and document level; prevent use of terms not in the approved glossary; linkable; versioned</t>
        </is>
      </c>
      <c r="E44" s="3" t="inlineStr">
        <is>
          <t>Glossary Management</t>
        </is>
      </c>
      <c r="F44" s="3" t="inlineStr">
        <is>
          <t>The system shall maintain a glossary of terms at enterprise level and at lower levels such as document or document-family level. It shall enforce the use of official definitions by preventing users from creating or applying terms not in the approved glossary. Terms shall be linkable to documents for contextual help. All glossary changes shall carry version control and a complete audit trail.</t>
        </is>
      </c>
      <c r="G44" s="3" t="inlineStr">
        <is>
          <t>Glossary Term sits on the Core version chain (desk). The enforcement validator refuses and logs a synonym or retired wording used instead of an enforced term, on save and on version upload. Definitions are shown in context on /policy and /document-view (glossary.in_context). Document-scoped terms are supported. Note: enforcement works through the synonyms and retired wording recorded against enforced terms; text that is in no glossary at all cannot be detected.</t>
        </is>
      </c>
      <c r="H44" s="2" t="inlineStr">
        <is>
          <t>a</t>
        </is>
      </c>
      <c r="I44" s="3" t="inlineStr">
        <is>
          <t>(a) Portal screen</t>
        </is>
      </c>
      <c r="J44" s="3" t="inlineStr">
        <is>
          <t>13 terms; GTRM-00012 "Emergency Change" scoped to GDOC-00012 and enforced; GTRM-00011 Proposed.</t>
        </is>
      </c>
      <c r="K44" s="3" t="inlineStr">
        <is>
          <t>policy.tests.test_naming_glossary.TestGlossaryEnforcement (all 9); policy.tests.test_wave3.TestGlossaryOnThePage (all 2); policy.tests.test_monitoring.TestGlossary (all 8)</t>
        </is>
      </c>
      <c r="L44" s="3" t="inlineStr">
        <is>
          <t>Pass</t>
        </is>
      </c>
      <c r="M44" s="3" t="inlineStr">
        <is>
          <t>✅</t>
        </is>
      </c>
      <c r="N44" s="3" t="inlineStr">
        <is>
          <t>Direct test</t>
        </is>
      </c>
      <c r="O44" s="2" t="n">
        <v>22</v>
      </c>
      <c r="P44" s="3" t="inlineStr">
        <is>
          <t>Config + Build — Glossary Term DocType; build for the enforcement validator and the term-to-document linkage.</t>
        </is>
      </c>
      <c r="Q44" s="2" t="inlineStr"/>
      <c r="R44" s="3" t="inlineStr"/>
      <c r="S44" s="3" t="inlineStr">
        <is>
          <t>E15, E30</t>
        </is>
      </c>
      <c r="T44" s="2" t="n">
        <v>7</v>
      </c>
    </row>
    <row r="45" ht="108" customHeight="1">
      <c r="A45" s="2" t="inlineStr">
        <is>
          <t>P-25</t>
        </is>
      </c>
      <c r="B45" s="3" t="inlineStr">
        <is>
          <t>POL</t>
        </is>
      </c>
      <c r="C45" s="2" t="inlineStr">
        <is>
          <t>Mandatory</t>
        </is>
      </c>
      <c r="D45" s="3" t="inlineStr">
        <is>
          <t>No publication without the complete approval set; bypass only with a documented exception</t>
        </is>
      </c>
      <c r="E45" s="3" t="inlineStr">
        <is>
          <t>Approval Management</t>
        </is>
      </c>
      <c r="F45" s="3" t="inlineStr">
        <is>
          <t>The system shall enforce a mandatory approval control before any governing document is published. No document may be published without completing all approvals required for its classification — new, major revision or minor revision. The approval workflow shall be configurable for multiple steps and roles, sequential or parallel, and shall keep a full audit trail of approvals including timestamp, approver identity and decision. Bypass or override without documented exception authorisation shall be prevented.</t>
        </is>
      </c>
      <c r="G45" s="3" t="inlineStr">
        <is>
          <t>Gates (Complete Approval Chain on Approved and Published; Current Version; Applicability; Publication Record) run from GoverningDocument.validate on every route. /policy shows the failing gate before an action is taken and refuses it after. Sequential order is enforced by Core. A bypass or gate exception needs an Exception Authorisation approved by the policy office, never self-approved. Record Approval needs a complete chain.</t>
        </is>
      </c>
      <c r="H45" s="2" t="inlineStr">
        <is>
          <t>a</t>
        </is>
      </c>
      <c r="I45" s="3" t="inlineStr">
        <is>
          <t>(a) Portal screen</t>
        </is>
      </c>
      <c r="J45" s="3" t="inlineStr">
        <is>
          <t>GDOC-00005 in Review: 1 approved and 1 pending step. GDOC-00011 in Review: 1 pending. Gates PLGT-00001…06.</t>
        </is>
      </c>
      <c r="K45" s="3" t="inlineStr">
        <is>
          <t>test_lifecycle.TestPublicationRefusal (all 7); policy.tests.test_regressions.TestGatesOnEveryRoute (all 3); policy.tests.test_w3_record_approval.TestRecordApprovalChecksTheChain (all 5); policy.tests.test_wave3.TestGateExceptions (all 4); policy.tests.test_portal_actions.TestLifecycleActions (all 8); policy.tests.test_wave3_policy.TestDocumentStepOrder (all 1)</t>
        </is>
      </c>
      <c r="L45" s="3" t="inlineStr">
        <is>
          <t>Pass</t>
        </is>
      </c>
      <c r="M45" s="3" t="inlineStr">
        <is>
          <t>✅</t>
        </is>
      </c>
      <c r="N45" s="3" t="inlineStr">
        <is>
          <t>Direct test</t>
        </is>
      </c>
      <c r="O45" s="2" t="n">
        <v>33</v>
      </c>
      <c r="P45" s="3" t="inlineStr">
        <is>
          <t>Config + Build — workflow gate on the publish transition; build for the classification-to-approval-set resolution and the exception-authorisation record.</t>
        </is>
      </c>
      <c r="Q45" s="2" t="inlineStr"/>
      <c r="R45" s="3" t="inlineStr"/>
      <c r="S45" s="3" t="inlineStr">
        <is>
          <t>E12, E30</t>
        </is>
      </c>
      <c r="T45" s="2" t="n">
        <v>8</v>
      </c>
    </row>
    <row r="46" ht="147" customHeight="1">
      <c r="A46" s="2" t="inlineStr">
        <is>
          <t>P-26</t>
        </is>
      </c>
      <c r="B46" s="3" t="inlineStr">
        <is>
          <t>POL</t>
        </is>
      </c>
      <c r="C46" s="2" t="inlineStr">
        <is>
          <t>Mandatory</t>
        </is>
      </c>
      <c r="D46" s="3" t="inlineStr">
        <is>
          <t>Structured review: review stage, reviewer assignment, disposition with notification, version chain (editing is external)</t>
        </is>
      </c>
      <c r="E46" s="3" t="inlineStr">
        <is>
          <t>Structured Editing and Review</t>
        </is>
      </c>
      <c r="F46" s="3" t="inlineStr">
        <is>
          <t>The system shall support a structured editing and review capability: transition of a document into a designated review stage; reviewer assignment configurable by role, group or document characteristic; sequential or parallel review; inline comment and revision suggestion; owner disposition of feedback in real time with automatic notification to the originator; version control with visibility of all changes; a complete audit trail of comments, dispositions, edits and notifications; and retention of prior versions.</t>
        </is>
      </c>
      <c r="G46" s="3" t="inlineStr">
        <is>
          <t>The review stage is reached through "Submit for Review" on /policy. The reviewer returns with comments ("Return to Drafting") on /policy, cannot edit the content, and the owner is told. Reviewers and approvers are assigned by role (workflow) and by document characteristic (Approval Route), sequential or parallel. A Document Disposition is written per review round, "Review Returned" or "Review Accepted", and the originator is told (policy.review.disposition). Version chain as in P-9. Gap: a reviewer cannot take "Return to Drafting" from the desk. The Review state is editable only by the owner, so the desk's workflow action fails for the reviewer; the portal works. No assignment by user group.</t>
        </is>
      </c>
      <c r="H46" s="2" t="inlineStr">
        <is>
          <t>a</t>
        </is>
      </c>
      <c r="I46" s="3" t="inlineStr">
        <is>
          <t>(a) Portal screen</t>
        </is>
      </c>
      <c r="J46" s="3" t="inlineStr">
        <is>
          <t>PDSP-00001…12 Review Accepted (one per published document); GDOC-00005, 00011 and 00015 in Review. There is no "Review Returned" disposition on the demo.</t>
        </is>
      </c>
      <c r="K46" s="3" t="inlineStr">
        <is>
          <t>policy.tests.test_wave3.TestReviewerReturn (all 4); policy.tests.test_portal_actions.TestLifecycleActions.test_a_reviewer_returns_a_document_to_drafting; test_lifecycle.TestLifecycleTransitions (all 4)</t>
        </is>
      </c>
      <c r="L46" s="3" t="inlineStr">
        <is>
          <t>Pass</t>
        </is>
      </c>
      <c r="M46" s="3" t="inlineStr">
        <is>
          <t>✅</t>
        </is>
      </c>
      <c r="N46" s="3" t="inlineStr">
        <is>
          <t>Direct test</t>
        </is>
      </c>
      <c r="O46" s="2" t="n">
        <v>11</v>
      </c>
      <c r="P46" s="3" t="inlineStr">
        <is>
          <t>Build (partial) + external — inline commenting, revision suggestion and collaborative editing belong to the external document editor. Ours: the review-stage transition, reviewer assignment, the disposition record and its notification, the authoritative version chain, and retention of prior versions.</t>
        </is>
      </c>
      <c r="Q46" s="2" t="inlineStr">
        <is>
          <t>Δ</t>
        </is>
      </c>
      <c r="R46" s="3" t="inlineStr"/>
      <c r="S46" s="3" t="inlineStr">
        <is>
          <t>E27, E33</t>
        </is>
      </c>
      <c r="T46" s="2" t="n">
        <v>13</v>
      </c>
    </row>
    <row r="47" ht="43" customHeight="1">
      <c r="A47" s="2" t="inlineStr">
        <is>
          <t>E-1</t>
        </is>
      </c>
      <c r="B47" s="3" t="inlineStr">
        <is>
          <t>ESC</t>
        </is>
      </c>
      <c r="C47" s="2" t="inlineStr">
        <is>
          <t>Mandatory</t>
        </is>
      </c>
      <c r="D47" s="3" t="inlineStr">
        <is>
          <t>Escalation repository with RBAC</t>
        </is>
      </c>
      <c r="E47" s="3" t="inlineStr">
        <is>
          <t>Escalation Repository</t>
        </is>
      </c>
      <c r="F47" s="3" t="inlineStr">
        <is>
          <t>The system shall provide a centralized, searchable repository of escalation matters and their metadata, with access, visibility and permitted actions governed by role-based access control.</t>
        </is>
      </c>
      <c r="G47" s="3" t="inlineStr">
        <is>
          <t>Escalation Matter with role permissions and the sensitivity hooks; register /escalations, detail /escalation, created on /raise-escalation (templates.raise_escalation) or the desk.</t>
        </is>
      </c>
      <c r="H47" s="2" t="inlineStr">
        <is>
          <t>a</t>
        </is>
      </c>
      <c r="I47" s="3" t="inlineStr">
        <is>
          <t>(a) Portal screen</t>
        </is>
      </c>
      <c r="J47" s="3" t="inlineStr">
        <is>
          <t>15 matters ESC-2026-00001 … 00015 across all six states.</t>
        </is>
      </c>
      <c r="K47" s="3" t="inlineStr">
        <is>
          <t>escalation.tests.test_entities.TestEscalationMatter (all 8), escalation.tests.test_entities.TestModuleShape (all 3), escalation.tests.test_portal_actions.TestRaise (all 6)</t>
        </is>
      </c>
      <c r="L47" s="3" t="inlineStr">
        <is>
          <t>Pass</t>
        </is>
      </c>
      <c r="M47" s="3" t="inlineStr">
        <is>
          <t>✅</t>
        </is>
      </c>
      <c r="N47" s="3" t="inlineStr">
        <is>
          <t>Direct test</t>
        </is>
      </c>
      <c r="O47" s="2" t="n">
        <v>20</v>
      </c>
      <c r="P47" s="3" t="inlineStr">
        <is>
          <t>Config — Escalation Matter DocType plus permission rules.</t>
        </is>
      </c>
      <c r="Q47" s="2" t="inlineStr"/>
      <c r="R47" s="3" t="inlineStr"/>
      <c r="S47" s="3" t="inlineStr">
        <is>
          <t>E16</t>
        </is>
      </c>
      <c r="T47" s="2" t="n">
        <v>4</v>
      </c>
    </row>
    <row r="48" ht="134" customHeight="1">
      <c r="A48" s="2" t="inlineStr">
        <is>
          <t>E-2</t>
        </is>
      </c>
      <c r="B48" s="3" t="inlineStr">
        <is>
          <t>ESC</t>
        </is>
      </c>
      <c r="C48" s="2" t="inlineStr">
        <is>
          <t>Mandatory</t>
        </is>
      </c>
      <c r="D48" s="3" t="inlineStr">
        <is>
          <t>Advanced search and filter</t>
        </is>
      </c>
      <c r="E48" s="3" t="inlineStr">
        <is>
          <t>Search and Retrieval</t>
        </is>
      </c>
      <c r="F48" s="3" t="inlineStr">
        <is>
          <t>The system shall provide advanced search and filtering of escalation matters by metadata.</t>
        </is>
      </c>
      <c r="G48" s="3" t="inlineStr">
        <is>
          <t>/escalations: filters on standing, age band, severity, status, type, level; free-text search on title, reference, trigger; sortable columns incl. risk types and accountable executive; filters kept in the address; search also taken from ?q=; rows read over REST so sensitive rows are excluded; Export CSV. The header's global search finds a matter by reference, title or external reference from any page, sensitive matters only for the cleared.</t>
        </is>
      </c>
      <c r="H48" s="2" t="inlineStr">
        <is>
          <t>a</t>
        </is>
      </c>
      <c r="I48" s="3" t="inlineStr">
        <is>
          <t>(a) Portal screen</t>
        </is>
      </c>
      <c r="J48" s="3" t="inlineStr">
        <is>
          <t>/escalations?standing=all&amp;severity=High lists ESC-2026-00001, 00003, 00004, 00007, 00009, 00014, 00015 (00003 and 00004 only to cleared readers).</t>
        </is>
      </c>
      <c r="K48" s="3" t="inlineStr">
        <is>
          <t>consilium_core.tests.test_global_search.TestGlobalSearch (all 9), including …test_a_sensitive_matter_reaches_only_the_cleared and …test_a_reference_finds_the_record_but_not_a_hidden_one; scripts/browser_journeys.py journeys escalation-filters and global-search (11/11 pass); escalation.tests.test_sensitivity.TestSensitiveMatters.test_the_api_list_hides_a_sensitive_matter, …test_a_filtered_api_read_cannot_be_used_to_confirm_existence; page render consilium_core.tests.test_portal_pages.TestAdministrator.test_every_page_renders_with_its_key_sections</t>
        </is>
      </c>
      <c r="L48" s="3" t="inlineStr">
        <is>
          <t>Pass</t>
        </is>
      </c>
      <c r="M48" s="3" t="inlineStr">
        <is>
          <t>✅</t>
        </is>
      </c>
      <c r="N48" s="3" t="inlineStr">
        <is>
          <t>Direct test</t>
        </is>
      </c>
      <c r="O48" s="2" t="n">
        <v>17</v>
      </c>
      <c r="P48" s="3" t="inlineStr">
        <is>
          <t>Config + Build — as G-2.</t>
        </is>
      </c>
      <c r="Q48" s="2" t="inlineStr">
        <is>
          <t>Δ</t>
        </is>
      </c>
      <c r="R48" s="3" t="inlineStr"/>
      <c r="S48" s="3" t="inlineStr">
        <is>
          <t>E16, E35</t>
        </is>
      </c>
      <c r="T48" s="2" t="n">
        <v>9</v>
      </c>
    </row>
    <row r="49" ht="108" customHeight="1">
      <c r="A49" s="2" t="inlineStr">
        <is>
          <t>E-3</t>
        </is>
      </c>
      <c r="B49" s="3" t="inlineStr">
        <is>
          <t>ESC</t>
        </is>
      </c>
      <c r="C49" s="2" t="inlineStr">
        <is>
          <t>Mandatory</t>
        </is>
      </c>
      <c r="D49" s="3" t="inlineStr">
        <is>
          <t>Tagging: named attributes, tiered risk types, plural impacted entities</t>
        </is>
      </c>
      <c r="E49" s="3" t="inlineStr">
        <is>
          <t>Escalation Tagging</t>
        </is>
      </c>
      <c r="F49" s="3" t="inlineStr">
        <is>
          <t>The system shall allow escalation matters to be tagged with controlled metadata, with field dependencies, drawn from the same taxonomies used elsewhere in the platform and controlled by dropdown selection. Named attributes: escalation title, escalation identifier, escalation type, identification date, matter description, tier-1 risk type, tier-2 risk type where applicable, impacted entity, the person who identified the matter, the organisational level of the escalation, and the accountable executive.</t>
        </is>
      </c>
      <c r="G49" s="3" t="inlineStr">
        <is>
          <t>All named fields; tier-1 and tier-2 from one tiered Risk Type taxonomy; Escalation Impacted Entity child table; captured on /raise-escalation (options from intake_options, retired values not offered) and shown on /escalation.</t>
        </is>
      </c>
      <c r="H49" s="2" t="inlineStr">
        <is>
          <t>a</t>
        </is>
      </c>
      <c r="I49" s="3" t="inlineStr">
        <is>
          <t>(a) Portal screen</t>
        </is>
      </c>
      <c r="J49" s="3" t="inlineStr">
        <is>
          <t>ESC-2026-00007 (LIMIT_BREACH): impacted Line of Business PCB and Material Entity ME_BANK.</t>
        </is>
      </c>
      <c r="K49" s="3" t="inlineStr">
        <is>
          <t>escalation.tests.test_entities.TestEscalationMatter.test_identification_and_escalation_dates_are_separate_fields, …test_forums_and_impacted_entities_are_plural, …test_an_unknown_impacted_entity_kind_is_refused; escalation.tests.test_assignment_and_timing.TestRetiredValuesAreNotOffered (all 1); consilium_core.tests.test_taxonomy.TestActiveOnlySearch (all 6)</t>
        </is>
      </c>
      <c r="L49" s="3" t="inlineStr">
        <is>
          <t>Pass</t>
        </is>
      </c>
      <c r="M49" s="3" t="inlineStr">
        <is>
          <t>✅</t>
        </is>
      </c>
      <c r="N49" s="3" t="inlineStr">
        <is>
          <t>Direct test</t>
        </is>
      </c>
      <c r="O49" s="2" t="n">
        <v>13</v>
      </c>
      <c r="P49" s="3" t="inlineStr">
        <is>
          <t>Config — Link and child-table fields against Core taxonomies.</t>
        </is>
      </c>
      <c r="Q49" s="2" t="inlineStr"/>
      <c r="R49" s="3" t="inlineStr"/>
      <c r="S49" s="3" t="inlineStr">
        <is>
          <t>E3, E16</t>
        </is>
      </c>
      <c r="T49" s="2" t="n">
        <v>9</v>
      </c>
    </row>
    <row r="50" ht="56" customHeight="1">
      <c r="A50" s="2" t="inlineStr">
        <is>
          <t>E-4</t>
        </is>
      </c>
      <c r="B50" s="3" t="inlineStr">
        <is>
          <t>ESC</t>
        </is>
      </c>
      <c r="C50" s="2" t="inlineStr">
        <is>
          <t>Mandatory</t>
        </is>
      </c>
      <c r="D50" s="3" t="inlineStr">
        <is>
          <t>Triggers from approved matrices; High, Medium or Low severity drives routing</t>
        </is>
      </c>
      <c r="E50" s="3" t="inlineStr">
        <is>
          <t>Escalation Triggers</t>
        </is>
      </c>
      <c r="F50" s="3" t="inlineStr">
        <is>
          <t>The system shall support predefined escalation triggers, including adverse events and risk appetite breaches, as defined in approved escalation matrices. Trigger severity — High, Medium, Low — shall determine routing and escalation pathway.</t>
        </is>
      </c>
      <c r="G50" s="3" t="inlineStr">
        <is>
          <t>Escalation Matrix + Escalation Matrix Rule (condition, resulting severity, forums, queue, SLA) on desk; routing.apply_routing on save records the rule; raise_escalation lets the matrix set severity or records a manual override; shown on /escalation.</t>
        </is>
      </c>
      <c r="H50" s="2" t="inlineStr">
        <is>
          <t>a</t>
        </is>
      </c>
      <c r="I50" s="3" t="inlineStr">
        <is>
          <t>(a) Portal screen</t>
        </is>
      </c>
      <c r="J50" s="3" t="inlineStr">
        <is>
          <t>Matrix ENTERPRISE-ESC, 13 rules R05-SYSTEMIC … R99-DEFAULT; ESC-2026-00007 matched R10-APPETITE (High, source Matrix); ESC-2026-00003 Manual Override.</t>
        </is>
      </c>
      <c r="K50" s="3" t="inlineStr">
        <is>
          <t>escalation.tests.test_routing.TestRouting (all 12); escalation.tests.test_portal_actions.TestRaise.test_the_matrix_sets_the_severity_when_none_is_chosen, …test_a_chosen_severity_is_recorded_as_an_override</t>
        </is>
      </c>
      <c r="L50" s="3" t="inlineStr">
        <is>
          <t>Pass</t>
        </is>
      </c>
      <c r="M50" s="3" t="inlineStr">
        <is>
          <t>✅</t>
        </is>
      </c>
      <c r="N50" s="3" t="inlineStr">
        <is>
          <t>Direct test</t>
        </is>
      </c>
      <c r="O50" s="2" t="n">
        <v>16</v>
      </c>
      <c r="P50" s="3" t="inlineStr">
        <is>
          <t>Config + Build — Escalation Matrix and its rule rows; build for the rule-resolution at intake.</t>
        </is>
      </c>
      <c r="Q50" s="2" t="inlineStr"/>
      <c r="R50" s="3" t="inlineStr"/>
      <c r="S50" s="3" t="inlineStr">
        <is>
          <t>E16</t>
        </is>
      </c>
      <c r="T50" s="2" t="n">
        <v>4</v>
      </c>
    </row>
    <row r="51" ht="95" customHeight="1">
      <c r="A51" s="2" t="inlineStr">
        <is>
          <t>E-5</t>
        </is>
      </c>
      <c r="B51" s="3" t="inlineStr">
        <is>
          <t>ESC</t>
        </is>
      </c>
      <c r="C51" s="2" t="inlineStr">
        <is>
          <t>Mandatory</t>
        </is>
      </c>
      <c r="D51" s="3" t="inlineStr">
        <is>
          <t>Required fields enforced by type and severity; route submission to others for detail and approvals</t>
        </is>
      </c>
      <c r="E51" s="3" t="inlineStr">
        <is>
          <t>Logging and Submission</t>
        </is>
      </c>
      <c r="F51" s="3" t="inlineStr">
        <is>
          <t>The system shall enforce required data fields at intake while allowing optional fields to vary by escalation type and severity, and shall support routing an initial submission to further individuals through configurable workflow to gather additional detail and obtain approvals.</t>
        </is>
      </c>
      <c r="G51" s="3" t="inlineStr">
        <is>
          <t>Template-driven required fields by type and severity, enforced on save and offered on /raise-escalation (template_requirements). Routing to others: the matrix rule's role or group queue (assignment.apply_assignment), queue notice, Take ownership (assignment.take_ownership); send for second-line review (move_matter_status) and review rounds; risk-acceptance approval request to a named approver. All on /escalation.</t>
        </is>
      </c>
      <c r="H51" s="2" t="inlineStr">
        <is>
          <t>a</t>
        </is>
      </c>
      <c r="I51" s="3" t="inlineStr">
        <is>
          <t>(a) Portal screen</t>
        </is>
      </c>
      <c r="J51" s="3" t="inlineStr">
        <is>
          <t>ESC-2026-00012 waiting in group queue Risk Management Function (R75-PROCESS); ESC-2026-00013 taken from Technology and Operations Leadership; templates ESC-INCIDENT, ESC-REGULATORY, ESC-LIMIT.</t>
        </is>
      </c>
      <c r="K51" s="3" t="inlineStr">
        <is>
          <t>escalation.tests.test_templates.TestTemplates (all 8); escalation.tests.test_assignment_and_timing.TestAssignmentByGroup (all 10), TestAssignmentByRole (all 1); escalation.tests.test_portal_actions.TestRaise.test_the_escalation_template_is_enforced, TestStatus (all 4)</t>
        </is>
      </c>
      <c r="L51" s="3" t="inlineStr">
        <is>
          <t>Pass</t>
        </is>
      </c>
      <c r="M51" s="3" t="inlineStr">
        <is>
          <t>✅</t>
        </is>
      </c>
      <c r="N51" s="3" t="inlineStr">
        <is>
          <t>Direct test</t>
        </is>
      </c>
      <c r="O51" s="2" t="n">
        <v>27</v>
      </c>
      <c r="P51" s="3" t="inlineStr">
        <is>
          <t>Config + Build — conditional mandatory-field metadata driven by the selected template; workflow routing.</t>
        </is>
      </c>
      <c r="Q51" s="2" t="inlineStr"/>
      <c r="R51" s="3" t="inlineStr"/>
      <c r="S51" s="3" t="inlineStr">
        <is>
          <t>E16, E27, E33</t>
        </is>
      </c>
      <c r="T51" s="2" t="n">
        <v>17</v>
      </c>
    </row>
    <row r="52" ht="147" customHeight="1">
      <c r="A52" s="2" t="inlineStr">
        <is>
          <t>E-6</t>
        </is>
      </c>
      <c r="B52" s="3" t="inlineStr">
        <is>
          <t>ESC</t>
        </is>
      </c>
      <c r="C52" s="2" t="inlineStr">
        <is>
          <t>Mandatory</t>
        </is>
      </c>
      <c r="D52" s="3" t="inlineStr">
        <is>
          <t>Three templates (escalation, action plan, risk acceptance), shared standard fields, plural forums</t>
        </is>
      </c>
      <c r="E52" s="3" t="inlineStr">
        <is>
          <t>Configurable Templates</t>
        </is>
      </c>
      <c r="F52" s="3" t="inlineStr">
        <is>
          <t>The system shall allow templates to be configured per escalation matter type, with standardized required fields shared across templates. Three templates are specified: the escalation template (identifier, title, type, identification date, tier-1 risk type, accountable executive, governance forum(s), impacted entities, status, trigger, escalation date); the action plan template (escalation identifier, name, start date, end date, accountable executive, owner, status, governance forum(s)); and the risk acceptance template (escalation identifier, name, external risk acceptance identifier where available, start date, end date, accountable executive, status, governance forum(s), rationale).</t>
        </is>
      </c>
      <c r="G52" s="3" t="inlineStr">
        <is>
          <t>Escalation Template in three scopes with a shared field set; Action Plan and Risk Acceptance apply their own template; both added from /escalation (add_action_plan, add_risk_acceptance) or desk.</t>
        </is>
      </c>
      <c r="H52" s="2" t="inlineStr">
        <is>
          <t>a</t>
        </is>
      </c>
      <c r="I52" s="3" t="inlineStr">
        <is>
          <t>(a) Portal screen</t>
        </is>
      </c>
      <c r="J52" s="3" t="inlineStr">
        <is>
          <t>ESC-INCIDENT, AP-INCIDENT, RA-LIMIT; ESC-2026-00001 with ACTP-00001, ACTP-00002 and RACC-00001.</t>
        </is>
      </c>
      <c r="K52" s="3" t="inlineStr">
        <is>
          <t>escalation.tests.test_templates.TestTemplates (all 8); escalation.tests.test_entities.TestActionPlan (all 2); escalation.tests.test_portal_actions.TestActionPlans (all 4)</t>
        </is>
      </c>
      <c r="L52" s="3" t="inlineStr">
        <is>
          <t>Pass</t>
        </is>
      </c>
      <c r="M52" s="3" t="inlineStr">
        <is>
          <t>✅</t>
        </is>
      </c>
      <c r="N52" s="3" t="inlineStr">
        <is>
          <t>Direct test</t>
        </is>
      </c>
      <c r="O52" s="2" t="n">
        <v>17</v>
      </c>
      <c r="P52" s="3" t="inlineStr">
        <is>
          <t>Config + Build — Escalation Template with a field-set child table driving required-field behaviour; Action Plan and Risk Acceptance DocTypes.</t>
        </is>
      </c>
      <c r="Q52" s="2" t="inlineStr"/>
      <c r="R52" s="3" t="inlineStr"/>
      <c r="S52" s="3" t="inlineStr">
        <is>
          <t>E16</t>
        </is>
      </c>
      <c r="T52" s="2" t="n">
        <v>4</v>
      </c>
    </row>
    <row r="53" ht="82" customHeight="1">
      <c r="A53" s="2" t="inlineStr">
        <is>
          <t>E-7</t>
        </is>
      </c>
      <c r="B53" s="3" t="inlineStr">
        <is>
          <t>ESC</t>
        </is>
      </c>
      <c r="C53" s="2" t="inlineStr">
        <is>
          <t>Mandatory</t>
        </is>
      </c>
      <c r="D53" s="3" t="inlineStr">
        <is>
          <t>Select forums as the pathway; pull participants (Committee Secretary and others) to notify them</t>
        </is>
      </c>
      <c r="E53" s="3" t="inlineStr">
        <is>
          <t>Escalation Pathway Mapping</t>
        </is>
      </c>
      <c r="F53" s="3" t="inlineStr">
        <is>
          <t>The system shall allow one or more governance forums to be selected as the escalation pathway, drawn from the forum inventory, and shall pull forum participant details — Committee Secretary and others — in order to notify them.</t>
        </is>
      </c>
      <c r="G53" s="3" t="inlineStr">
        <is>
          <t>Escalation Forum Link (active forums only), proposed by the matrix, changed on /escalation (routing.set_pathway; a matrix-routed forum cannot be removed). routing.forum_participants resolves chair, secretary and attesting seats (and live delegates) from Forum Membership as at today; breach and material-entity notices reach them and stamp notified_on; "Who a notice reaches" on /escalation.</t>
        </is>
      </c>
      <c r="H53" s="2" t="inlineStr">
        <is>
          <t>a</t>
        </is>
      </c>
      <c r="I53" s="3" t="inlineStr">
        <is>
          <t>(a) Portal screen</t>
        </is>
      </c>
      <c r="J53" s="3" t="inlineStr">
        <is>
          <t>ESC-2026-00007 pathway FRM-2026-00002 and FRM-2026-00005, notified (R10-APPETITE); ESC-2026-00009 and ESC-2026-00001 notified (R20-MATERIAL).</t>
        </is>
      </c>
      <c r="K53" s="3" t="inlineStr">
        <is>
          <t>escalation.tests.test_participants.TestPathwayParticipants (all 5); escalation.tests.test_portal_actions.TestPathway (all 4); escalation.tests.test_routing.TestRouting.test_an_inactive_forum_cannot_be_a_destination</t>
        </is>
      </c>
      <c r="L53" s="3" t="inlineStr">
        <is>
          <t>Pass</t>
        </is>
      </c>
      <c r="M53" s="3" t="inlineStr">
        <is>
          <t>✅</t>
        </is>
      </c>
      <c r="N53" s="3" t="inlineStr">
        <is>
          <t>Direct test</t>
        </is>
      </c>
      <c r="O53" s="2" t="n">
        <v>13</v>
      </c>
      <c r="P53" s="3" t="inlineStr">
        <is>
          <t>Config + Build — child table of Links to Governance Forum; build for participant resolution through the membership records and the notification fan-out.</t>
        </is>
      </c>
      <c r="Q53" s="2" t="inlineStr">
        <is>
          <t>Δ</t>
        </is>
      </c>
      <c r="R53" s="3" t="inlineStr"/>
      <c r="S53" s="3" t="inlineStr">
        <is>
          <t>E9, E17, E29</t>
        </is>
      </c>
      <c r="T53" s="2" t="n">
        <v>13</v>
      </c>
    </row>
    <row r="54" ht="134" customHeight="1">
      <c r="A54" s="2" t="inlineStr">
        <is>
          <t>E-8</t>
        </is>
      </c>
      <c r="B54" s="3" t="inlineStr">
        <is>
          <t>ESC</t>
        </is>
      </c>
      <c r="C54" s="2" t="inlineStr">
        <is>
          <t>Mandatory</t>
        </is>
      </c>
      <c r="D54" s="3" t="inlineStr">
        <is>
          <t>Automated workflow: role and group assignment, closure docs, matrix routing, material-entity notice to forum, risk-appetite breach path</t>
        </is>
      </c>
      <c r="E54" s="3" t="inlineStr">
        <is>
          <t>Configurable Automated Workflow</t>
        </is>
      </c>
      <c r="F54" s="3" t="inlineStr">
        <is>
          <t>The system shall automate logging, review, actioning and resolution of escalation matters, including: assignment of users by role and group; attachment and approval of closure documents; workflows, pathways and roles configurable by matter type and severity; storage and reference of escalation matrices for automated routing; automatic notification of the relevant governance forum when a material-entity impact flag is set; and, where the matter is triggered by a risk appetite breach, the ability to flag the breach and follow the breach workflow. Configuration shall require no custom development.</t>
        </is>
      </c>
      <c r="G54" s="3" t="inlineStr">
        <is>
          <t>Assignment by role or group from the matrix rule with Take ownership; closure record with criteria and approval stamp (record_matter_closure, close_matter); matrix routing; material-entity notice to pathway forum participants (notify_material_entity_impact); breach flag and path (R10-APPETITE, breach raises severity). Pathways, roles, queues, service levels and required fields are configuration per type and severity. Missing: the workflow itself is not configurable by type and severity: there is no Workflow on Escalation Matter, and move_matter_status lets the stage's role move between any two open states for every type and severity.</t>
        </is>
      </c>
      <c r="H54" s="2" t="inlineStr">
        <is>
          <t>d</t>
        </is>
      </c>
      <c r="I54" s="3" t="inlineStr">
        <is>
          <t>(d) Not implemented (whole or mandatory part)</t>
        </is>
      </c>
      <c r="J54" s="3" t="inlineStr">
        <is>
          <t>ESC-2026-00007 risk-appetite breach, auto-escalated, breach_count 1; ESC-2026-00009 material-entity impact notified; ESCC-00001 … 00004 closures.</t>
        </is>
      </c>
      <c r="K54" s="3" t="inlineStr">
        <is>
          <t>escalation.tests.test_assignment_and_timing.TestAssignmentByGroup (all 10), TestAssignmentByRole (all 1); escalation.tests.test_participants.TestPathwayParticipants.test_material_entity_impact_notifies_them_and_stamps_the_forum; escalation.tests.test_resolution.TestSecondLineChallenge.test_material_entity_impact_notifies; escalation.tests.test_routing.TestRouting (all 12)</t>
        </is>
      </c>
      <c r="L54" s="3" t="inlineStr">
        <is>
          <t>Pass (qualified)</t>
        </is>
      </c>
      <c r="M54" s="3" t="inlineStr">
        <is>
          <t>✅ (what exists)</t>
        </is>
      </c>
      <c r="N54" s="3" t="inlineStr">
        <is>
          <t>Direct test</t>
        </is>
      </c>
      <c r="O54" s="2" t="n">
        <v>29</v>
      </c>
      <c r="P54" s="3" t="inlineStr">
        <is>
          <t>Config + Build — workflow configuration; build for matrix-driven routing and the two conditional notification paths.</t>
        </is>
      </c>
      <c r="Q54" s="2" t="inlineStr">
        <is>
          <t>Δ</t>
        </is>
      </c>
      <c r="R54" s="3" t="inlineStr">
        <is>
          <t>Class (d), No direct test</t>
        </is>
      </c>
      <c r="S54" s="3" t="inlineStr">
        <is>
          <t>E17, E27, E33</t>
        </is>
      </c>
      <c r="T54" s="2" t="n">
        <v>17</v>
      </c>
    </row>
    <row r="55" ht="212" customHeight="1">
      <c r="A55" s="2" t="inlineStr">
        <is>
          <t>E-9</t>
        </is>
      </c>
      <c r="B55" s="3" t="inlineStr">
        <is>
          <t>ESC</t>
        </is>
      </c>
      <c r="C55" s="2" t="inlineStr">
        <is>
          <t>Mandatory</t>
        </is>
      </c>
      <c r="D55" s="3" t="inlineStr">
        <is>
          <t>Review and challenge with SLA; approvals; periodic reassessment of risk acceptance; delegation; sensitive restriction; systemic escalation to Head of Enterprise Risk; mandatory response template</t>
        </is>
      </c>
      <c r="E55" s="3" t="inlineStr">
        <is>
          <t>Configurable Review and Approval Workflow</t>
        </is>
      </c>
      <c r="F55" s="3" t="inlineStr">
        <is>
          <t>The system shall support a structured, role-based review and approval process. Review and challenge: multi-step review by role and severity, including configurable second-line-of-defence challenge with service levels before escalation to accountable executives or governance forums, with review actions, comments and outcomes retained in the audit trail. Approval and accountability: configurable sequential or parallel approvals aligned to type, severity and organisational hierarchy; risk acceptance workflows with documented approvals and periodic reassessment; accountability tracked by role with timestamps and decision records. Pathways and exceptions: configurable pathways aligned to governance forum structures and organisational hierarchy; delegation of routing responsibility where permitted; exception handling; restricted access for sensitive escalations; escalation to the Head of Enterprise Risk for systemic issues. Completion of the escalation response template is mandatory for all escalations, including those tracked in an external system.</t>
        </is>
      </c>
      <c r="G55" s="3" t="inlineStr">
        <is>
          <t>Review rounds from /escalation (record_review_round, independent of the accountable people); second-line challenge clock (Time In State on requires_review, scoped {"systemic": 1}) stamped on the round; systemic route (matrix rule on systemic to a higher role and forums); risk-acceptance approval by an independent named approver or a forum motion, with delegation through Authority Delegation; reassessment and expiry reminders (reminders.remind_risk_acceptances, daily); sensitive restriction; response-template gate on closure. Missing: configurable sequential or parallel approvals aligned to type, severity and hierarchy: an acceptance takes one named approver (a second request is refused), and nothing configures an approval chain for escalations.</t>
        </is>
      </c>
      <c r="H55" s="2" t="inlineStr">
        <is>
          <t>d</t>
        </is>
      </c>
      <c r="I55" s="3" t="inlineStr">
        <is>
          <t>(d) Not implemented (whole or mandatory part)</t>
        </is>
      </c>
      <c r="J55" s="3" t="inlineStr">
        <is>
          <t>ESC-2026-00015 systemic (R05-SYSTEMIC, role Head of Risk Governance), review round 1 Challenged against SLAC-00020 (ESC-CHALLENGE-SYSTEMIC, 40 h); RACC-00006 and RACC-00002 Pending Approval; RACC-00004 Approved by decision; RACC-00003 Approved by motion FMOT-2026-00021; RACC-00001 Expired; ADEL-00001 delegation over Risk Acceptance.</t>
        </is>
      </c>
      <c r="K55" s="3" t="inlineStr">
        <is>
          <t>escalation.tests.test_assignment_and_timing.TestSystemicRoute (all 2), TestChallengeServiceLevel (all 3); escalation.tests.test_portal_actions.TestReviewRounds (all 5), TestRiskAcceptanceApproval (all 9); escalation.tests.test_resolution.TestRiskAcceptanceApproval (all 5), TestStatesAndClosure.test_closing_without_the_response_template_is_refused; consilium_core.tests.test_reminders.TestEscalationReminders (all 6); consilium_core.tests.test_services.TestApprovals.test_a_delegate_decides_under_a_recorded_delegation</t>
        </is>
      </c>
      <c r="L55" s="3" t="inlineStr">
        <is>
          <t>Pass (qualified)</t>
        </is>
      </c>
      <c r="M55" s="3" t="inlineStr">
        <is>
          <t>✅ (what exists)</t>
        </is>
      </c>
      <c r="N55" s="3" t="inlineStr">
        <is>
          <t>Direct test</t>
        </is>
      </c>
      <c r="O55" s="2" t="n">
        <v>37</v>
      </c>
      <c r="P55" s="3" t="inlineStr">
        <is>
          <t>Config + Build — workflow configuration; build for the challenge service level, the reassessment scheduler and the mandatory-response gate.</t>
        </is>
      </c>
      <c r="Q55" s="2" t="inlineStr"/>
      <c r="R55" s="3" t="inlineStr">
        <is>
          <t>Class (d), No direct test</t>
        </is>
      </c>
      <c r="S55" s="3" t="inlineStr">
        <is>
          <t>E17, E29, E33</t>
        </is>
      </c>
      <c r="T55" s="2" t="n">
        <v>8</v>
      </c>
    </row>
    <row r="56" ht="56" customHeight="1">
      <c r="A56" s="2" t="inlineStr">
        <is>
          <t>E-10</t>
        </is>
      </c>
      <c r="B56" s="3" t="inlineStr">
        <is>
          <t>ESC</t>
        </is>
      </c>
      <c r="C56" s="2" t="inlineStr">
        <is>
          <t>Mandatory</t>
        </is>
      </c>
      <c r="D56" s="3" t="inlineStr">
        <is>
          <t>Enforce closure criteria; auditable closure evidence</t>
        </is>
      </c>
      <c r="E56" s="3" t="inlineStr">
        <is>
          <t>Closure Criteria</t>
        </is>
      </c>
      <c r="F56" s="3" t="inlineStr">
        <is>
          <t>The system shall enforce defined closure criteria and maintain auditable evidence of closure.</t>
        </is>
      </c>
      <c r="G56" s="3" t="inlineStr">
        <is>
          <t>Escalation Closure + Closure Criterion; gate on required criteria and on external reference for a transfer; recorded and closed from /escalation (record_matter_closure, close_matter, confirmation before closing); closer stamped as approver.</t>
        </is>
      </c>
      <c r="H56" s="2" t="inlineStr">
        <is>
          <t>a</t>
        </is>
      </c>
      <c r="I56" s="3" t="inlineStr">
        <is>
          <t>(a) Portal screen</t>
        </is>
      </c>
      <c r="J56" s="3" t="inlineStr">
        <is>
          <t>ESCC-00003 ESC-2026-00006 Transferred Externally (EXTR-00005); ESCC-00004 ESC-2026-00011 Risk Accepted.</t>
        </is>
      </c>
      <c r="K56" s="3" t="inlineStr">
        <is>
          <t>escalation.tests.test_resolution.TestStatesAndClosure (all 7); escalation.tests.test_portal_actions.TestClosure (all 5)</t>
        </is>
      </c>
      <c r="L56" s="3" t="inlineStr">
        <is>
          <t>Pass</t>
        </is>
      </c>
      <c r="M56" s="3" t="inlineStr">
        <is>
          <t>✅</t>
        </is>
      </c>
      <c r="N56" s="3" t="inlineStr">
        <is>
          <t>Direct test</t>
        </is>
      </c>
      <c r="O56" s="2" t="n">
        <v>14</v>
      </c>
      <c r="P56" s="3" t="inlineStr">
        <is>
          <t>Config + Build — Escalation Closure record with evidence attachments; build for the closure gate.</t>
        </is>
      </c>
      <c r="Q56" s="2" t="inlineStr"/>
      <c r="R56" s="3" t="inlineStr"/>
      <c r="S56" s="3" t="inlineStr">
        <is>
          <t>E17, E27</t>
        </is>
      </c>
      <c r="T56" s="2" t="n">
        <v>16</v>
      </c>
    </row>
    <row r="57" ht="82" customHeight="1">
      <c r="A57" s="2" t="inlineStr">
        <is>
          <t>E-11</t>
        </is>
      </c>
      <c r="B57" s="3" t="inlineStr">
        <is>
          <t>ESC</t>
        </is>
      </c>
      <c r="C57" s="2" t="inlineStr">
        <is>
          <t>Mandatory</t>
        </is>
      </c>
      <c r="D57" s="3" t="inlineStr">
        <is>
          <t>Generated periodic reports; quarterly tracking; automated reminders; nil-return workflow</t>
        </is>
      </c>
      <c r="E57" s="3" t="inlineStr">
        <is>
          <t>Periodic Submission and Tracking</t>
        </is>
      </c>
      <c r="F57" s="3" t="inlineStr">
        <is>
          <t>The system shall generate reports directly, replacing manual periodic submissions, and shall support automated quarterly tracking and reporting, including automated reminders and a "no activity" confirmation workflow.</t>
        </is>
      </c>
      <c r="G57" s="3" t="inlineStr">
        <is>
          <t>Periodic Submission with the nil-return rule (desk); daily reminders.open_quarter creates the quarter's return once and tells its owner; remind_periodic_returns due and overdue; quarterly analysis and CSV on /reports (analysis.summary, analysis.export, period Quarter). Submission is a desk action by design (trace: CS-5, DK-5, BG).</t>
        </is>
      </c>
      <c r="H57" s="2" t="inlineStr">
        <is>
          <t>b</t>
        </is>
      </c>
      <c r="I57" s="3" t="inlineStr">
        <is>
          <t>(b) Desk / config / job by design</t>
        </is>
      </c>
      <c r="J57" s="3" t="inlineStr">
        <is>
          <t>ESPS-00001 2025-Q4 and ESPS-00002 2026-Q1 Accepted; ESPS-00003 2026-Q2 Submitted; ESPS-00004 2026-Q3 Draft (6 matters).</t>
        </is>
      </c>
      <c r="K57" s="3" t="inlineStr">
        <is>
          <t>escalation.tests.test_entities.TestPeriodicSubmission.test_a_period_with_no_matters_must_be_a_nil_return; consilium_core.tests.test_reminders.TestEscalationReminders.test_a_quarter_opening_creates_its_return_once_and_tells_its_owner, …test_quarter_boundaries; escalation.tests.test_analysis.TestAnalysis.test_the_summary_is_exportable_as_csv</t>
        </is>
      </c>
      <c r="L57" s="3" t="inlineStr">
        <is>
          <t>Pass</t>
        </is>
      </c>
      <c r="M57" s="3" t="inlineStr">
        <is>
          <t>✅</t>
        </is>
      </c>
      <c r="N57" s="3" t="inlineStr">
        <is>
          <t>Direct test</t>
        </is>
      </c>
      <c r="O57" s="2" t="n">
        <v>7</v>
      </c>
      <c r="P57" s="3" t="inlineStr">
        <is>
          <t>Config + Build — Periodic Submission record; scheduled reminder job; build for the nil-return confirmation.</t>
        </is>
      </c>
      <c r="Q57" s="2" t="inlineStr"/>
      <c r="R57" s="3" t="inlineStr"/>
      <c r="S57" s="3" t="inlineStr">
        <is>
          <t>E5, E17, E29</t>
        </is>
      </c>
      <c r="T57" s="2" t="n">
        <v>12</v>
      </c>
    </row>
    <row r="58" ht="56" customHeight="1">
      <c r="A58" s="2" t="inlineStr">
        <is>
          <t>E-12</t>
        </is>
      </c>
      <c r="B58" s="3" t="inlineStr">
        <is>
          <t>ESC</t>
        </is>
      </c>
      <c r="C58" s="2" t="inlineStr">
        <is>
          <t>Mandatory</t>
        </is>
      </c>
      <c r="D58" s="3" t="inlineStr">
        <is>
          <t>History; revert</t>
        </is>
      </c>
      <c r="E58" s="3" t="inlineStr">
        <is>
          <t>Version Control, Audit History and Accountability</t>
        </is>
      </c>
      <c r="F58" s="3" t="inlineStr">
        <is>
          <t>The system shall track changes to escalation matters, maintain complete history, and log user actions with timestamp and attribution, retaining version history. Revert to a previous version shall be available to authorised users.</t>
        </is>
      </c>
      <c r="G58" s="3" t="inlineStr">
        <is>
          <t>consilium_core.revision.snapshot on every save (hooks doc_events); unified history (changes, comments, notifications) and a revision list with Revert (reason required, state and handling kept, closed matters refused) on /escalation; evidence-pack ZIP.</t>
        </is>
      </c>
      <c r="H58" s="2" t="inlineStr">
        <is>
          <t>a</t>
        </is>
      </c>
      <c r="I58" s="3" t="inlineStr">
        <is>
          <t>(a) Portal screen</t>
        </is>
      </c>
      <c r="J58" s="3" t="inlineStr">
        <is>
          <t>30 matter versions on the demo (ESC-2026-00015 has 4, ESC-2026-00007 has 3).</t>
        </is>
      </c>
      <c r="K58" s="3" t="inlineStr">
        <is>
          <t>consilium_core.tests.test_revision.TestMatterRevision (all 13); consilium_core.tests.test_core_controls_wave3.TestHistoryAndEvidencePack (all 4); escalation.tests.test_entities.TestModuleShape.test_every_entity_tracks_changes</t>
        </is>
      </c>
      <c r="L58" s="3" t="inlineStr">
        <is>
          <t>Pass</t>
        </is>
      </c>
      <c r="M58" s="3" t="inlineStr">
        <is>
          <t>✅</t>
        </is>
      </c>
      <c r="N58" s="3" t="inlineStr">
        <is>
          <t>Direct test</t>
        </is>
      </c>
      <c r="O58" s="2" t="n">
        <v>21</v>
      </c>
      <c r="P58" s="3" t="inlineStr">
        <is>
          <t>Native + Build — native version log; revert is a build.</t>
        </is>
      </c>
      <c r="Q58" s="2" t="inlineStr">
        <is>
          <t>Δ</t>
        </is>
      </c>
      <c r="R58" s="3" t="inlineStr"/>
      <c r="S58" s="3" t="inlineStr">
        <is>
          <t>E4, E17, E30</t>
        </is>
      </c>
      <c r="T58" s="2" t="n">
        <v>10</v>
      </c>
    </row>
    <row r="59" ht="108" customHeight="1">
      <c r="A59" s="2" t="inlineStr">
        <is>
          <t>E-13</t>
        </is>
      </c>
      <c r="B59" s="3" t="inlineStr">
        <is>
          <t>ESC</t>
        </is>
      </c>
      <c r="C59" s="2" t="inlineStr">
        <is>
          <t>Mandatory</t>
        </is>
      </c>
      <c r="D59" s="3" t="inlineStr">
        <is>
          <t>SLA for workflow steps, status durations and total time open</t>
        </is>
      </c>
      <c r="E59" s="3" t="inlineStr">
        <is>
          <t>Service Level Tracking</t>
        </is>
      </c>
      <c r="F59" s="3" t="inlineStr">
        <is>
          <t>The system shall track service levels for workflow steps, status durations and total time-open, to support performance monitoring and oversight.</t>
        </is>
      </c>
      <c r="G59" s="3" t="inlineStr">
        <is>
          <t>Total time open per matrix rule (Core clock, business calendar, daily breach sweep that raises the matter); time in each status rebuilt from the change log and judged against Time In State definitions (timing.get_time_in_state, state_durations), kept live by the sla.on_subject_update hook and an hourly catch-up; warning at the configured percentage; second-line challenge clock. Shown on /escalation and /reports. Time To First Action is supported by sla.py but no definition is configured, so it is not shown.</t>
        </is>
      </c>
      <c r="H59" s="2" t="inlineStr">
        <is>
          <t>a</t>
        </is>
      </c>
      <c r="I59" s="3" t="inlineStr">
        <is>
          <t>(a) Portal screen</t>
        </is>
      </c>
      <c r="J59" s="3" t="inlineStr">
        <is>
          <t>ESC-HIGH, ESC-MEDIUM, ESC-LOW; ESC-STATE-OPEN, -PROGRESS, -REVIEW, -PENDING; SLAC-00011 ESC-2026-00007 breached 2026-07-31; SLAC-00032 and SLAC-00033 time-in-Open breaches on ESC-2026-00008 and 00010 (no severity raise).</t>
        </is>
      </c>
      <c r="K59" s="3" t="inlineStr">
        <is>
          <t>escalation.tests.test_assignment_and_timing.TestTimeInStatus (all 5); consilium_core.tests.test_sla_measures.TestTimeInState (all 8), TestWarningsAndBreaches (all 7); escalation.tests.test_resolution.TestServiceLevels (all 5); escalation.tests.test_wave3_escalation.TestOnlyTheResolutionThresholdRaisesAMatter (all 2); escalation.tests.test_regressions.TestBreachIsNotRepeated (all 2)</t>
        </is>
      </c>
      <c r="L59" s="3" t="inlineStr">
        <is>
          <t>Pass</t>
        </is>
      </c>
      <c r="M59" s="3" t="inlineStr">
        <is>
          <t>✅</t>
        </is>
      </c>
      <c r="N59" s="3" t="inlineStr">
        <is>
          <t>Direct test</t>
        </is>
      </c>
      <c r="O59" s="2" t="n">
        <v>34</v>
      </c>
      <c r="P59" s="3" t="inlineStr">
        <is>
          <t>Build — service-level definitions, a clock that accrues per state, and breach detection.</t>
        </is>
      </c>
      <c r="Q59" s="2" t="inlineStr">
        <is>
          <t>Δ</t>
        </is>
      </c>
      <c r="R59" s="3" t="inlineStr"/>
      <c r="S59" s="3" t="inlineStr">
        <is>
          <t>E17, E29</t>
        </is>
      </c>
      <c r="T59" s="2" t="n">
        <v>7</v>
      </c>
    </row>
    <row r="60" ht="82" customHeight="1">
      <c r="A60" s="2" t="inlineStr">
        <is>
          <t>E-14</t>
        </is>
      </c>
      <c r="B60" s="3" t="inlineStr">
        <is>
          <t>ESC</t>
        </is>
      </c>
      <c r="C60" s="2" t="inlineStr">
        <is>
          <t>Mandatory</t>
        </is>
      </c>
      <c r="D60" s="3" t="inlineStr">
        <is>
          <t>Statuses including Open, Under Review, Closed — tracked externally</t>
        </is>
      </c>
      <c r="E60" s="3" t="inlineStr">
        <is>
          <t>Status Management</t>
        </is>
      </c>
      <c r="F60" s="3" t="inlineStr">
        <is>
          <t>The system shall manage escalation lifecycle statuses, including at minimum Open, Under Review and Closed — tracked externally.</t>
        </is>
      </c>
      <c r="G60" s="3" t="inlineStr">
        <is>
          <t>Six configured states mapped to semantic flags (state_flag_seed.py, Workflow State Flag); externally-tracked closure needs the external reference; moved and closed on /escalation.</t>
        </is>
      </c>
      <c r="H60" s="2" t="inlineStr">
        <is>
          <t>a</t>
        </is>
      </c>
      <c r="I60" s="3" t="inlineStr">
        <is>
          <t>(a) Portal screen</t>
        </is>
      </c>
      <c r="J60" s="3" t="inlineStr">
        <is>
          <t>Open ESC-2026-00008, 00010, 00012 … 00014; In Progress 00003, 00007; Under Review 00002, 00009, 00015; Pending Review 00004; Closed 00001, 00005, 00011; Closed — Tracked Externally 00006 (EXTR-00005).</t>
        </is>
      </c>
      <c r="K60" s="3" t="inlineStr">
        <is>
          <t>escalation.tests.test_resolution.TestStatesAndClosure.test_a_matter_moves_through_its_states, …test_an_externally_tracked_closure_needs_its_external_reference; escalation.tests.test_portal_actions.TestStatus (all 4), TestClosure.test_closing_as_tracked_elsewhere_takes_the_closures_reference; consilium_core.tests.test_state_flags.TestStateFlags (all 7)</t>
        </is>
      </c>
      <c r="L60" s="3" t="inlineStr">
        <is>
          <t>Pass</t>
        </is>
      </c>
      <c r="M60" s="3" t="inlineStr">
        <is>
          <t>✅</t>
        </is>
      </c>
      <c r="N60" s="3" t="inlineStr">
        <is>
          <t>Direct test</t>
        </is>
      </c>
      <c r="O60" s="2" t="n">
        <v>17</v>
      </c>
      <c r="P60" s="3" t="inlineStr">
        <is>
          <t>Config — workflow states with semantic flags; the external-closure status is a terminal state carrying an external reference.</t>
        </is>
      </c>
      <c r="Q60" s="2" t="inlineStr">
        <is>
          <t>Δ</t>
        </is>
      </c>
      <c r="R60" s="3" t="inlineStr"/>
      <c r="S60" s="3" t="inlineStr">
        <is>
          <t>E17</t>
        </is>
      </c>
      <c r="T60" s="2" t="n">
        <v>5</v>
      </c>
    </row>
    <row r="61" ht="95" customHeight="1">
      <c r="A61" s="2" t="inlineStr">
        <is>
          <t>E-15</t>
        </is>
      </c>
      <c r="B61" s="3" t="inlineStr">
        <is>
          <t>ESC</t>
        </is>
      </c>
      <c r="C61" s="2" t="inlineStr">
        <is>
          <t>Mandatory</t>
        </is>
      </c>
      <c r="D61" s="3" t="inlineStr">
        <is>
          <t>Reporting and dashboards: status, severity, risk type, forum, executive; trends; export</t>
        </is>
      </c>
      <c r="E61" s="3" t="inlineStr">
        <is>
          <t>Reporting and Dashboards</t>
        </is>
      </c>
      <c r="F61" s="3" t="inlineStr">
        <is>
          <t>The system shall provide reporting and dashboards for oversight, monitoring and analysis of escalation matters — status, trends and performance — with filtering and aggregation by status, severity, risk type, governance forum and accountable executive; dashboards configurable for real-time and historical views including service-level progress, upcoming actions and recurring or systemic themes; and export for management, audit and regulatory needs.</t>
        </is>
      </c>
      <c r="G61" s="3" t="inlineStr">
        <is>
          <t>/reports escalation section: counts and bars by severity, type, level, age, breaches, appetite, review; analysis.summary (volumes, durations, destinations by forum, outcomes by month, quarter or year) with CSV analysis.export; /emerging-risks trends by tier-1 risk type and escalation type; register sortable by accountable executive and risk types, with Export CSV of the matching rows; desk report builder (DK-5) for any other grouping. All permission-filtered.</t>
        </is>
      </c>
      <c r="H61" s="2" t="inlineStr">
        <is>
          <t>a</t>
        </is>
      </c>
      <c r="I61" s="3" t="inlineStr">
        <is>
          <t>(a) Portal screen</t>
        </is>
      </c>
      <c r="J61" s="3" t="inlineStr">
        <is>
          <t>15 demo matters; /emerging-risks computes 42 series, 7 rising.</t>
        </is>
      </c>
      <c r="K61" s="3" t="inlineStr">
        <is>
          <t>escalation.tests.test_analysis.TestAnalysis (all 5); consilium_core.tests.test_ai_features.TestTrends (all 4)</t>
        </is>
      </c>
      <c r="L61" s="3" t="inlineStr">
        <is>
          <t>Pass</t>
        </is>
      </c>
      <c r="M61" s="3" t="inlineStr">
        <is>
          <t>✅</t>
        </is>
      </c>
      <c r="N61" s="3" t="inlineStr">
        <is>
          <t>Direct test</t>
        </is>
      </c>
      <c r="O61" s="2" t="n">
        <v>11</v>
      </c>
      <c r="P61" s="3" t="inlineStr">
        <is>
          <t>Native + Build — as G-12.</t>
        </is>
      </c>
      <c r="Q61" s="2" t="inlineStr"/>
      <c r="R61" s="3" t="inlineStr"/>
      <c r="S61" s="3" t="inlineStr">
        <is>
          <t>E17, E20</t>
        </is>
      </c>
      <c r="T61" s="2" t="n">
        <v>9</v>
      </c>
    </row>
    <row r="62" ht="82" customHeight="1">
      <c r="A62" s="2" t="inlineStr">
        <is>
          <t>E-16</t>
        </is>
      </c>
      <c r="B62" s="3" t="inlineStr">
        <is>
          <t>ESC</t>
        </is>
      </c>
      <c r="C62" s="2" t="inlineStr">
        <is>
          <t>Mandatory</t>
        </is>
      </c>
      <c r="D62" s="3" t="inlineStr">
        <is>
          <t>RBAC by role; flag and restrict sensitive escalations on every path</t>
        </is>
      </c>
      <c r="E62" s="3" t="inlineStr">
        <is>
          <t>Role-Based Access Control</t>
        </is>
      </c>
      <c r="F62" s="3" t="inlineStr">
        <is>
          <t>The system shall provide role-based access for individuals and delegates, grouping users by role — escalator, accountable executive or governance forum, response owner, second line of defence, risk governance office — with responsibilities associated to each role, and shall flag and restrict access to escalations designated sensitive.</t>
        </is>
      </c>
      <c r="G62" s="3" t="inlineStr">
        <is>
          <t>has_permission and permission_query_conditions on the matter and its three child entities; role Sensitive Escalation Access; named people (response owner, accountable executive, raiser, members of its queue) see their own sensitive matter; the register, reports, analysis, assistant and AI features count only visible rows; only a cleared person may raise a sensitive matter.</t>
        </is>
      </c>
      <c r="H62" s="2" t="inlineStr">
        <is>
          <t>a</t>
        </is>
      </c>
      <c r="I62" s="3" t="inlineStr">
        <is>
          <t>(a) Portal screen</t>
        </is>
      </c>
      <c r="J62" s="3" t="inlineStr">
        <is>
          <t>ESC-2026-00003 and ESC-2026-00004 sensitive.</t>
        </is>
      </c>
      <c r="K62" s="3" t="inlineStr">
        <is>
          <t>escalation.tests.test_sensitivity.TestSensitiveMatters (all 8), TestNamedPeopleSeeTheirSensitiveMatters (all 4); escalation.tests.test_portal_actions.TestSensitiveMatter (all 3); escalation.tests.test_entities.TestEscalationMatter.test_permissions</t>
        </is>
      </c>
      <c r="L62" s="3" t="inlineStr">
        <is>
          <t>Pass</t>
        </is>
      </c>
      <c r="M62" s="3" t="inlineStr">
        <is>
          <t>✅</t>
        </is>
      </c>
      <c r="N62" s="3" t="inlineStr">
        <is>
          <t>Direct test</t>
        </is>
      </c>
      <c r="O62" s="2" t="n">
        <v>19</v>
      </c>
      <c r="P62" s="3" t="inlineStr">
        <is>
          <t>Native + Config + Build — native role and permission engine; build for the sensitive-record restriction, which must survive list, report, search and export paths.</t>
        </is>
      </c>
      <c r="Q62" s="2" t="inlineStr">
        <is>
          <t>Δ</t>
        </is>
      </c>
      <c r="R62" s="3" t="inlineStr"/>
      <c r="S62" s="3" t="inlineStr">
        <is>
          <t>E2</t>
        </is>
      </c>
      <c r="T62" s="2" t="n">
        <v>5</v>
      </c>
    </row>
    <row r="63" ht="147" customHeight="1">
      <c r="A63" s="2" t="inlineStr">
        <is>
          <t>E-17</t>
        </is>
      </c>
      <c r="B63" s="3" t="inlineStr">
        <is>
          <t>ESC</t>
        </is>
      </c>
      <c r="C63" s="2" t="inlineStr">
        <is>
          <t>Mandatory</t>
        </is>
      </c>
      <c r="D63" s="3" t="inlineStr">
        <is>
          <t>Configurable, templated notifications to users and groups</t>
        </is>
      </c>
      <c r="E63" s="3" t="inlineStr">
        <is>
          <t>Notifications</t>
        </is>
      </c>
      <c r="F63" s="3" t="inlineStr">
        <is>
          <t>The system shall send configurable, templated, automated notifications to users and groups across the escalation lifecycle.</t>
        </is>
      </c>
      <c r="G63" s="3" t="inlineStr">
        <is>
          <t>Every notice goes through notification.notify and an admin-editable Notification Template (12 escalation events: breach, material-entity impact, queued, action plan due and overdue, periodic return opened, due and overdue, risk acceptance expiring, expired, reassessment due and overdue); e-mail by SMTP (framework mail queue) or Microsoft Graph (app-only client credentials; token cached; 401 renews the token; 429, 503 and 504 retried per Retry-After), chosen in Admin → Integrations, with hourly retry and record channel fallback; recipients are named people, matrix user groups, queue members and pathway forum participants. Templates edited on desk (DK-7), sent by jobs and hooks (BG). A real mail relay or Graph tenant needs the target environment.</t>
        </is>
      </c>
      <c r="H63" s="2" t="inlineStr">
        <is>
          <t>b</t>
        </is>
      </c>
      <c r="I63" s="3" t="inlineStr">
        <is>
          <t>(b) Desk / config / job by design</t>
        </is>
      </c>
      <c r="J63" s="3" t="inlineStr">
        <is>
          <t>52 dispatches on Escalation Matter subjects; reminder log shows escalation.action_plan.overdue ×4, due_soon ×1.</t>
        </is>
      </c>
      <c r="K63" s="3" t="inlineStr">
        <is>
          <t>consilium_core.tests.test_notification_templates.TestEventApi (all 10), TestTemplateFailures (all 5), TestEmailRetry (all 3), TestSeeding (all 2); consilium_core.tests.test_graph_mail.TestTheWire (all 8), TestTheDispatchRecord (all 7), TestTheSettings (all 5); escalation.tests.test_assignment_and_timing.TestAssignmentByGroup.test_the_queue_is_told_when_the_matter_enters_it; escalation.tests.test_participants.TestPathwayParticipants.test_a_breach_reaches_the_pathway_forums_people</t>
        </is>
      </c>
      <c r="L63" s="3" t="inlineStr">
        <is>
          <t>Pass</t>
        </is>
      </c>
      <c r="M63" s="3" t="inlineStr">
        <is>
          <t>✅</t>
        </is>
      </c>
      <c r="N63" s="3" t="inlineStr">
        <is>
          <t>Direct test</t>
        </is>
      </c>
      <c r="O63" s="2" t="n">
        <v>46</v>
      </c>
      <c r="P63" s="3" t="inlineStr">
        <is>
          <t>Native + Config + Build — as G-14.</t>
        </is>
      </c>
      <c r="Q63" s="2" t="inlineStr">
        <is>
          <t>Δ</t>
        </is>
      </c>
      <c r="R63" s="3" t="inlineStr"/>
      <c r="S63" s="3" t="inlineStr">
        <is>
          <t>E19, E29, E36</t>
        </is>
      </c>
      <c r="T63" s="2" t="n">
        <v>12</v>
      </c>
    </row>
    <row r="64" ht="82" customHeight="1">
      <c r="A64" s="2" t="inlineStr">
        <is>
          <t>E-18</t>
        </is>
      </c>
      <c r="B64" s="3" t="inlineStr">
        <is>
          <t>ESC</t>
        </is>
      </c>
      <c r="C64" s="2" t="inlineStr">
        <is>
          <t>Mandatory</t>
        </is>
      </c>
      <c r="D64" s="3" t="inlineStr">
        <is>
          <t>Retention and WORM</t>
        </is>
      </c>
      <c r="E64" s="3" t="inlineStr">
        <is>
          <t>Data and Document Retention</t>
        </is>
      </c>
      <c r="F64" s="3" t="inlineStr">
        <is>
          <t>The system shall retain data and documents in accordance with the applicable retention policy and requirements, and shall hold documents and data in a write-once, read-many form for the duration of their retention period.</t>
        </is>
      </c>
      <c r="G64" s="3" t="inlineStr">
        <is>
          <t>As G-16: retention and legal-hold guards on every save and delete (wildcard doc_events); ESC-MATTER retention class; daily retention.flag_due_for_disposal schedules a disposal for review and flags held records. Gap: execute_disposition and release_hold are reachable only from code (no desk button, no endpoint); no retention assignment exists on the demo, so nothing is under retention.</t>
        </is>
      </c>
      <c r="H64" s="2" t="inlineStr">
        <is>
          <t>c</t>
        </is>
      </c>
      <c r="I64" s="3" t="inlineStr">
        <is>
          <t>(c) Partly reachable</t>
        </is>
      </c>
      <c r="J64" s="3" t="inlineStr">
        <is>
          <t>Retention class ESC-MATTER; 0 retention assignments, 0 legal holds, 0 disposition events.</t>
        </is>
      </c>
      <c r="K64" s="3" t="inlineStr">
        <is>
          <t>consilium_core.tests.test_retention.TestRetention (all 14); consilium_core.tests.test_core_controls_wave3.TestScheduledDisposalReview (all 5)</t>
        </is>
      </c>
      <c r="L64" s="3" t="inlineStr">
        <is>
          <t>Pass</t>
        </is>
      </c>
      <c r="M64" s="3" t="inlineStr">
        <is>
          <t>✅</t>
        </is>
      </c>
      <c r="N64" s="3" t="inlineStr">
        <is>
          <t>Direct test</t>
        </is>
      </c>
      <c r="O64" s="2" t="n">
        <v>21</v>
      </c>
      <c r="P64" s="3" t="inlineStr">
        <is>
          <t>Build — as G-16.</t>
        </is>
      </c>
      <c r="Q64" s="2" t="inlineStr">
        <is>
          <t>Δ</t>
        </is>
      </c>
      <c r="R64" s="3" t="inlineStr">
        <is>
          <t>Class (c)</t>
        </is>
      </c>
      <c r="S64" s="3" t="inlineStr"/>
      <c r="T64" s="2" t="n"/>
    </row>
    <row r="65" ht="225" customHeight="1">
      <c r="A65" s="2" t="inlineStr">
        <is>
          <t>E-19</t>
        </is>
      </c>
      <c r="B65" s="3" t="inlineStr">
        <is>
          <t>ESC</t>
        </is>
      </c>
      <c r="C65" s="2" t="inlineStr">
        <is>
          <t>Mandatory</t>
        </is>
      </c>
      <c r="D65" s="3" t="inlineStr">
        <is>
          <t>Inbound file import creates matters; outbound export with linkage; forum selection; related risk ids</t>
        </is>
      </c>
      <c r="E65" s="3" t="inlineStr">
        <is>
          <t>Integration</t>
        </is>
      </c>
      <c r="F65" s="3" t="inlineStr">
        <is>
          <t>The system shall allow escalation matters to be created, updated and tracked consistently across risk, governance and issue-management platforms. Inbound: receive data from external systems — issue management, operational risk events, risk appetite monitoring — to create escalation matters with pre-populated data, with field mapping for completeness, consistency and traceability, and validation and handling rules for missing, invalid or incomplete information. Outbound: send escalation data to external systems for downstream tracking, resolution and reporting, with field mapping and maintained linkage, and synchronisation of status and key attributes where applicable. Governance alignment: select governance forums as pathways using authoritative forum data; link to related risk identifiers for end-to-end traceability; apply restricted handling to sensitive escalations. Technical: configurable methods and frequency; formats supported by both ends; identity platform integration for user selection, routing and notification; alignment to enterprise taxonomies with field mapping and handling rules.</t>
        </is>
      </c>
      <c r="G65" s="3" t="inlineStr">
        <is>
          <t>Inbound: /imports (CS-11) upload, review, exclude, revalidate, commit against profile IMPP-00002, with escalation.importing.attach_impacted_entities as the module preparer; a re-import of the same key updates. External Reference; related_risk_reference; forum selection in-database. Gap: outbound export (consilium_core.importing.export_records, Export Batch linkage register) has no screen or endpoint; it is reachable only from tests.</t>
        </is>
      </c>
      <c r="H65" s="2" t="inlineStr">
        <is>
          <t>c</t>
        </is>
      </c>
      <c r="I65" s="3" t="inlineStr">
        <is>
          <t>(c) Partly reachable</t>
        </is>
      </c>
      <c r="J65" s="3" t="inlineStr">
        <is>
          <t>IMPB-00001 Validated against IMPP-00002; EXTR-00006 (RISK_REGISTER RAS-CRE-01) on ESC-2026-00007; 0 export batches.</t>
        </is>
      </c>
      <c r="K65" s="3" t="inlineStr">
        <is>
          <t>escalation.tests.test_import_export.TestImportPath (all 4); consilium_core.tests.test_imports_portal.TestReview.test_a_module_preparer_runs_before_the_commit, TestUpload (all 5); consilium_core.tests.test_import_pipeline.TestImportPipeline.test_a_second_import_of_the_same_key_updates_rather_than_duplicates, …test_an_export_batch_records_what_left</t>
        </is>
      </c>
      <c r="L65" s="3" t="inlineStr">
        <is>
          <t>Pass</t>
        </is>
      </c>
      <c r="M65" s="3" t="inlineStr">
        <is>
          <t>✅</t>
        </is>
      </c>
      <c r="N65" s="3" t="inlineStr">
        <is>
          <t>Direct test</t>
        </is>
      </c>
      <c r="O65" s="2" t="n">
        <v>15</v>
      </c>
      <c r="P65" s="3" t="inlineStr">
        <is>
          <t>Build — inbound becomes the manual/file import path; outbound becomes an export with a linkage register; forum selection is an in-database relationship; identity is app-native with pluggable single sign-on.</t>
        </is>
      </c>
      <c r="Q65" s="2" t="inlineStr">
        <is>
          <t>Δ</t>
        </is>
      </c>
      <c r="R65" s="3" t="inlineStr">
        <is>
          <t>Class (c)</t>
        </is>
      </c>
      <c r="S65" s="3" t="inlineStr">
        <is>
          <t>E21, E28</t>
        </is>
      </c>
      <c r="T65" s="2" t="n">
        <v>7</v>
      </c>
    </row>
    <row r="66" ht="82" customHeight="1">
      <c r="A66" s="2" t="inlineStr">
        <is>
          <t>O-1</t>
        </is>
      </c>
      <c r="B66" s="3" t="inlineStr">
        <is>
          <t>Supplementary</t>
        </is>
      </c>
      <c r="C66" s="2" t="inlineStr">
        <is>
          <t>Supplementary</t>
        </is>
      </c>
      <c r="D66" s="3" t="inlineStr">
        <is>
          <t>Home page user guide (setup, forum types, templates, authority, escalation)</t>
        </is>
      </c>
      <c r="E66" s="3" t="inlineStr"/>
      <c r="F66" s="3" t="inlineStr">
        <is>
          <t>A home page carrying a user guide: how to set up a governance forum, definitions of each forum type and how to choose between them, templates (charters, meeting materials, reporting requirements), decision-making authority and escalation protocols.</t>
        </is>
      </c>
      <c r="G66" s="3" t="inlineStr">
        <is>
          <t>/ reads Guide Article (edited on desk), with built-in fallback text. Articles whose category has no card are still rendered. The help assistant on every page also answers from the illustrated guide chapters, citing them (administration chapters for administrators only). Gap: the create-forum wizard's guidance (CS-4 in the O-1 trace) is static page text, not Guide Article.</t>
        </is>
      </c>
      <c r="H66" s="2" t="inlineStr">
        <is>
          <t>a</t>
        </is>
      </c>
      <c r="I66" s="3" t="inlineStr">
        <is>
          <t>(a) Portal screen</t>
        </is>
      </c>
      <c r="J66" s="3" t="inlineStr">
        <is>
          <t>6 published articles: guide-getting-started, guide-forum-types, guide-templates, guide-decision-authority, guide-escalation-protocol, guide-policy-lifecycle.</t>
        </is>
      </c>
      <c r="K66" s="3" t="inlineStr">
        <is>
          <t>consilium_core.tests.test_w3_guides_core.TestGuideArticlesAreFoundWhereTheAssistantPoints (all 2); consilium_core.tests.test_assistant.TestBuiltInAnswers (all 12), TestAdminDocumentation (all 2); consilium_core.tests.test_portal_pages.TestAdministrator.test_every_page_renders_with_its_key_sections</t>
        </is>
      </c>
      <c r="L66" s="3" t="inlineStr">
        <is>
          <t>Pass</t>
        </is>
      </c>
      <c r="M66" s="3" t="inlineStr">
        <is>
          <t>✅</t>
        </is>
      </c>
      <c r="N66" s="3" t="inlineStr">
        <is>
          <t>Direct test</t>
        </is>
      </c>
      <c r="O66" s="2" t="n">
        <v>20</v>
      </c>
      <c r="P66" s="3" t="inlineStr">
        <is>
          <t>Build — custom home screen with managed guide content.</t>
        </is>
      </c>
      <c r="Q66" s="2" t="inlineStr"/>
      <c r="R66" s="3" t="inlineStr"/>
      <c r="S66" s="3" t="inlineStr">
        <is>
          <t>E31, E35</t>
        </is>
      </c>
      <c r="T66" s="2" t="n">
        <v>9</v>
      </c>
    </row>
    <row r="67" ht="56" customHeight="1">
      <c r="A67" s="2" t="inlineStr">
        <is>
          <t>O-2</t>
        </is>
      </c>
      <c r="B67" s="3" t="inlineStr">
        <is>
          <t>Supplementary</t>
        </is>
      </c>
      <c r="C67" s="2" t="inlineStr">
        <is>
          <t>Supplementary</t>
        </is>
      </c>
      <c r="D67" s="3" t="inlineStr">
        <is>
          <t>Interconnectivity flow chart (home and forum page)</t>
        </is>
      </c>
      <c r="E67" s="3" t="inlineStr"/>
      <c r="F67" s="3" t="inlineStr">
        <is>
          <t>A view of governance interconnectivity between committees, councils and oversight bodies, rendered as a flow chart.</t>
        </is>
      </c>
      <c r="G67" s="3" t="inlineStr">
        <is>
          <t>Home page forum map (inventory.forum_map: every forum the viewer may read, with links only where both ends are readable). Forum page SVG (inventory.interconnectivity).</t>
        </is>
      </c>
      <c r="H67" s="2" t="inlineStr">
        <is>
          <t>a</t>
        </is>
      </c>
      <c r="I67" s="3" t="inlineStr">
        <is>
          <t>(a) Portal screen</t>
        </is>
      </c>
      <c r="J67" s="3" t="inlineStr">
        <is>
          <t>All 14 forums and 15 links on /. FRM-2026-00005 Executive Risk Committee with two parents and five children on /forum.</t>
        </is>
      </c>
      <c r="K67" s="3" t="inlineStr">
        <is>
          <t>governance.tests.test_governance_gaps.TestInventoryReads.test_the_map_draws_what_the_viewer_may_see, TestPages.test_the_pages_render_with_their_new_sections; governance.tests.test_inventory.TestRelationships (all 2)</t>
        </is>
      </c>
      <c r="L67" s="3" t="inlineStr">
        <is>
          <t>Pass</t>
        </is>
      </c>
      <c r="M67" s="3" t="inlineStr">
        <is>
          <t>✅</t>
        </is>
      </c>
      <c r="N67" s="3" t="inlineStr">
        <is>
          <t>Direct test</t>
        </is>
      </c>
      <c r="O67" s="2" t="n">
        <v>6</v>
      </c>
      <c r="P67" s="3" t="inlineStr">
        <is>
          <t>Build — consumes the Forum Link relationships. Rendered on both the home page and the forum detail page.</t>
        </is>
      </c>
      <c r="Q67" s="2" t="inlineStr"/>
      <c r="R67" s="3" t="inlineStr"/>
      <c r="S67" s="3" t="inlineStr">
        <is>
          <t>E33</t>
        </is>
      </c>
      <c r="T67" s="2" t="n">
        <v>1</v>
      </c>
    </row>
    <row r="68" ht="82" customHeight="1">
      <c r="A68" s="2" t="inlineStr">
        <is>
          <t>O-3</t>
        </is>
      </c>
      <c r="B68" s="3" t="inlineStr">
        <is>
          <t>Supplementary</t>
        </is>
      </c>
      <c r="C68" s="2" t="inlineStr">
        <is>
          <t>Supplementary</t>
        </is>
      </c>
      <c r="D68" s="3" t="inlineStr">
        <is>
          <t>Customisable dashboard: activity, compliance status, gaps in coverage</t>
        </is>
      </c>
      <c r="E68" s="3" t="inlineStr"/>
      <c r="F68" s="3" t="inlineStr">
        <is>
          <t>A customisable visual dashboard summarising forum activity, compliance status and gaps in governance coverage.</t>
        </is>
      </c>
      <c r="G68" s="3" t="inlineStr">
        <is>
          <t>/reports forum section plus the coverage-gap matrix (risk category by owning group, empty cells highlighted, forums or documents). /governance-gaps lists coverage gaps by rule. Missing: customisation. The viewer cannot choose, arrange or save what the dashboard shows; the only choice is the forums/documents switch on the matrix. The desk workspace ships no Dashboard Chart or Number Card.</t>
        </is>
      </c>
      <c r="H68" s="2" t="inlineStr">
        <is>
          <t>d</t>
        </is>
      </c>
      <c r="I68" s="3" t="inlineStr">
        <is>
          <t>(d) Not implemented (whole or mandatory part)</t>
        </is>
      </c>
      <c r="J68" s="3" t="inlineStr">
        <is>
          <t>As G-12.</t>
        </is>
      </c>
      <c r="K68" s="3" t="inlineStr">
        <is>
          <t>consilium_core.tests.test_ai_features.TestGaps.test_forum_policy_regulatory_and_coverage_gaps_are_found; consilium_core.tests.test_portal_pages.TestAdministrator.test_every_page_renders_with_its_key_sections</t>
        </is>
      </c>
      <c r="L68" s="3" t="inlineStr">
        <is>
          <t>Pass (qualified)</t>
        </is>
      </c>
      <c r="M68" s="3" t="inlineStr">
        <is>
          <t>✅ (gap rule and page render; the matrix is counted in the browser and not tested)</t>
        </is>
      </c>
      <c r="N68" s="3" t="inlineStr">
        <is>
          <t>Direct test</t>
        </is>
      </c>
      <c r="O68" s="2" t="n">
        <v>4</v>
      </c>
      <c r="P68" s="3" t="inlineStr">
        <is>
          <t>Build + Native — custom dashboard screen over native chart/number sources.</t>
        </is>
      </c>
      <c r="Q68" s="2" t="inlineStr"/>
      <c r="R68" s="3" t="inlineStr">
        <is>
          <t>Class (d), No direct test</t>
        </is>
      </c>
      <c r="S68" s="3" t="inlineStr">
        <is>
          <t>E28</t>
        </is>
      </c>
      <c r="T68" s="2" t="n">
        <v>4</v>
      </c>
    </row>
    <row r="69" ht="30" customHeight="1">
      <c r="A69" s="2" t="inlineStr">
        <is>
          <t>O-4</t>
        </is>
      </c>
      <c r="B69" s="3" t="inlineStr">
        <is>
          <t>Supplementary</t>
        </is>
      </c>
      <c r="C69" s="2" t="inlineStr">
        <is>
          <t>Supplementary</t>
        </is>
      </c>
      <c r="D69" s="3" t="inlineStr">
        <is>
          <t>Automated notifications</t>
        </is>
      </c>
      <c r="E69" s="3" t="inlineStr"/>
      <c r="F69" s="3" t="inlineStr">
        <is>
          <t>Automated notifications.</t>
        </is>
      </c>
      <c r="G69" s="3" t="inlineStr">
        <is>
          <t>Same as G-14.</t>
        </is>
      </c>
      <c r="H69" s="2" t="inlineStr">
        <is>
          <t>d</t>
        </is>
      </c>
      <c r="I69" s="3" t="inlineStr">
        <is>
          <t>(d) Not implemented (whole or mandatory part)</t>
        </is>
      </c>
      <c r="J69" s="3" t="inlineStr">
        <is>
          <t>As G-14.</t>
        </is>
      </c>
      <c r="K69" s="3" t="inlineStr">
        <is>
          <t>As G-14.</t>
        </is>
      </c>
      <c r="L69" s="3" t="inlineStr">
        <is>
          <t>Pass (qualified)</t>
        </is>
      </c>
      <c r="M69" s="3" t="inlineStr">
        <is>
          <t>✅ (what exists)</t>
        </is>
      </c>
      <c r="N69" s="3" t="inlineStr">
        <is>
          <t>Direct test</t>
        </is>
      </c>
      <c r="O69" s="2" t="n"/>
      <c r="P69" s="3" t="inlineStr">
        <is>
          <t>Already Mandatory under G-14.</t>
        </is>
      </c>
      <c r="Q69" s="2" t="inlineStr"/>
      <c r="R69" s="3" t="inlineStr">
        <is>
          <t>Class (d)</t>
        </is>
      </c>
      <c r="S69" s="3" t="inlineStr">
        <is>
          <t>E29</t>
        </is>
      </c>
      <c r="T69" s="2" t="n">
        <v>2</v>
      </c>
    </row>
    <row r="70" ht="69" customHeight="1">
      <c r="A70" s="2" t="inlineStr">
        <is>
          <t>O-5</t>
        </is>
      </c>
      <c r="B70" s="3" t="inlineStr">
        <is>
          <t>Supplementary</t>
        </is>
      </c>
      <c r="C70" s="2" t="inlineStr">
        <is>
          <t>Supplementary</t>
        </is>
      </c>
      <c r="D70" s="3" t="inlineStr">
        <is>
          <t>Escalation tracking within the forum module</t>
        </is>
      </c>
      <c r="E70" s="3" t="inlineStr"/>
      <c r="F70" s="3" t="inlineStr">
        <is>
          <t>Escalation tracking and resolution within the forum module.</t>
        </is>
      </c>
      <c r="G70" s="3" t="inlineStr">
        <is>
          <t>/forum Escalations tab: "Escalations on this forum's pathway" (inventory.forum_escalations), with the forum's role, notified date and decision motion. It reads matters through the permitted list, so sensitive matters are shown only to cleared readers and never counted. Resolution happens on /escalation.</t>
        </is>
      </c>
      <c r="H70" s="2" t="inlineStr">
        <is>
          <t>a</t>
        </is>
      </c>
      <c r="I70" s="3" t="inlineStr">
        <is>
          <t>(a) Portal screen</t>
        </is>
      </c>
      <c r="J70" s="3" t="inlineStr">
        <is>
          <t>FRM-2026-00006 Operational Risk Committee has 8 pathway matters, including sensitive ESC-2026-00003 and ESC-2026-00004 (Decision).</t>
        </is>
      </c>
      <c r="K70" s="3" t="inlineStr">
        <is>
          <t>governance.tests.test_governance_gaps.TestForumEscalations (all 3), TestPages.test_the_pages_render_with_their_new_sections</t>
        </is>
      </c>
      <c r="L70" s="3" t="inlineStr">
        <is>
          <t>Pass</t>
        </is>
      </c>
      <c r="M70" s="3" t="inlineStr">
        <is>
          <t>✅</t>
        </is>
      </c>
      <c r="N70" s="3" t="inlineStr">
        <is>
          <t>Direct test</t>
        </is>
      </c>
      <c r="O70" s="2" t="n">
        <v>5</v>
      </c>
      <c r="P70" s="3" t="inlineStr">
        <is>
          <t>Satisfied by the in-database relationship to Escalation Matter (S-1).</t>
        </is>
      </c>
      <c r="Q70" s="2" t="inlineStr"/>
      <c r="R70" s="3" t="inlineStr"/>
      <c r="S70" s="3" t="inlineStr">
        <is>
          <t>E33</t>
        </is>
      </c>
      <c r="T70" s="2" t="n">
        <v>1</v>
      </c>
    </row>
    <row r="71" ht="160" customHeight="1">
      <c r="A71" s="2" t="inlineStr">
        <is>
          <t>O-6</t>
        </is>
      </c>
      <c r="B71" s="3" t="inlineStr">
        <is>
          <t>Supplementary</t>
        </is>
      </c>
      <c r="C71" s="2" t="inlineStr">
        <is>
          <t>Supplementary</t>
        </is>
      </c>
      <c r="D71" s="3" t="inlineStr">
        <is>
          <t>Real-time governance-gap detection and policy-change impact (external AI)</t>
        </is>
      </c>
      <c r="E71" s="3" t="inlineStr"/>
      <c r="F71" s="3" t="inlineStr">
        <is>
          <t>Real-time detection of governance gaps and impact assessment for policy changes.</t>
        </is>
      </c>
      <c r="G71" s="3" t="inlineStr">
        <is>
          <t>Rule-based first, no network: ai.gaps.detect (forum, policy, regulatory and coverage gaps; escalation types no rule names) on /governance-gaps; ai.impact.assess (lineage, applicability, regulation, forums, monitoring, violations, escalations, sections touched) in the Impact panel on /policy and /policy-impact. Optional AI commentary through one audited client (ai/client.py, shared with the help assistant) behind ai/guard.py: classification ceiling, sensitive and Restricted never sent, guidance-only tokens by default, analyst roles and hourly limit, every call an AI Service Request; off until an administrator sets endpoint and key in Admin → Integrations (Assistant Settings; request format "OpenAI-compatible API"; write-only key; Test connection); any failure falls back. Computed at page open over readable records.</t>
        </is>
      </c>
      <c r="H71" s="2" t="inlineStr">
        <is>
          <t>a</t>
        </is>
      </c>
      <c r="I71" s="3" t="inlineStr">
        <is>
          <t>(a) Portal screen</t>
        </is>
      </c>
      <c r="J71" s="3" t="inlineStr">
        <is>
          <t>Connected on the demo site to an OpenAI-compatible provider, guidance-only, classification ceiling Internal: 20 AI Service Request rows, all Succeeded (17 help-assistant answers with citations, 3 governance-gap commentaries), each at Internal classification. /governance-gaps finds 75 gaps (28 High); impact of GDOC-00007 reaches 7 lineage records, 2 forums, 1 regulation.</t>
        </is>
      </c>
      <c r="K71" s="3" t="inlineStr">
        <is>
          <t>consilium_core.tests.test_ai_features.TestGaps (all 3), TestImpact (all 11), TestGuard (all 4), TestClient (all 3), TestPages (all 1); consilium_core.tests.test_assistant.TestSettings (all 4), TestAIMode (all 8); consilium_core.tests.test_integrations.TestIntegrationsPage (all 14); consilium_core.tests.test_services.TestProvenance (all 4)</t>
        </is>
      </c>
      <c r="L71" s="3" t="inlineStr">
        <is>
          <t>Pass (qualified)</t>
        </is>
      </c>
      <c r="M71" s="3" t="inlineStr">
        <is>
          <t>✅ (automated tests use a stub endpoint; the live run is the demo site's request log)</t>
        </is>
      </c>
      <c r="N71" s="3" t="inlineStr">
        <is>
          <t>Direct test</t>
        </is>
      </c>
      <c r="O71" s="2" t="n">
        <v>56</v>
      </c>
      <c r="P71" s="3" t="inlineStr">
        <is>
          <t>External AI services — an outbound call with recorded provenance. Not a schema item.</t>
        </is>
      </c>
      <c r="Q71" s="2" t="inlineStr"/>
      <c r="R71" s="3" t="inlineStr">
        <is>
          <t>No direct test</t>
        </is>
      </c>
      <c r="S71" s="3" t="inlineStr">
        <is>
          <t>E22, E36</t>
        </is>
      </c>
      <c r="T71" s="2" t="n">
        <v>10</v>
      </c>
    </row>
    <row r="72" ht="147" customHeight="1">
      <c r="A72" s="2" t="inlineStr">
        <is>
          <t>O-7</t>
        </is>
      </c>
      <c r="B72" s="3" t="inlineStr">
        <is>
          <t>Supplementary</t>
        </is>
      </c>
      <c r="C72" s="2" t="inlineStr">
        <is>
          <t>Supplementary</t>
        </is>
      </c>
      <c r="D72" s="3" t="inlineStr">
        <is>
          <t>Regulatory updates, predictive analytics (external AI + regulatory import)</t>
        </is>
      </c>
      <c r="E72" s="3" t="inlineStr"/>
      <c r="F72" s="3" t="inlineStr">
        <is>
          <t>Real-time regulatory updates, predictive analytics for emerging risks and automated governance risk assessment.</t>
        </is>
      </c>
      <c r="G72" s="3" t="inlineStr">
        <is>
          <t>/regulatory-updates: recent changes, citing documents and forums, rule-based candidate documents and sections; record_change saves through the Regulatory Requirement controller, whose fan-out tells owners of citing documents and forums (P-6); file import through /imports with profile IMPP-00001 and policy.regulatory_import.prepare_changes, same fan-out; optional AI suggestions recorded and applied only on a person's accept (decide, AI Suggestion Acceptance with version). /emerging-risks: trends (slope, z-score) and leading indicators over escalations, violations, monitoring and SLA breaches. Governance risk scores with configurable weights on /governance-gaps (ai.scoring.assess). Same guard and client as O-6.</t>
        </is>
      </c>
      <c r="H72" s="2" t="inlineStr">
        <is>
          <t>a</t>
        </is>
      </c>
      <c r="I72" s="3" t="inlineStr">
        <is>
          <t>(a) Portal screen</t>
        </is>
      </c>
      <c r="J72" s="3" t="inlineStr">
        <is>
          <t>REQ_OP_RESILIENCE changed 2026-09-18, cited by GDOC-00007, owner notified; 12 requirements; /emerging-risks 7 rising series, 7 indicators; scores for 13 forums and 14 policies. The AI endpoint is connected (see O-6), but no regulatory suggestion has been requested through it on the demo site. The horizon-scanning platform is reached through /horizon-scanning.</t>
        </is>
      </c>
      <c r="K72" s="3" t="inlineStr">
        <is>
          <t>consilium_core.tests.test_ai_features.TestRegulatory (all 8), TestTrends (all 4), TestScoring (all 3), TestPages (all 1); consilium_core.tests.test_regulatory_change.TestRegulatoryChangeFanOut (all 6); consilium_core.tests.test_integrations.TestHorizonScanning (all 3)</t>
        </is>
      </c>
      <c r="L72" s="3" t="inlineStr">
        <is>
          <t>Pass (qualified)</t>
        </is>
      </c>
      <c r="M72" s="3" t="inlineStr">
        <is>
          <t>✅ (AI suggestions tested against a stub endpoint only)</t>
        </is>
      </c>
      <c r="N72" s="3" t="inlineStr">
        <is>
          <t>Direct test</t>
        </is>
      </c>
      <c r="O72" s="2" t="n">
        <v>28</v>
      </c>
      <c r="P72" s="3" t="inlineStr">
        <is>
          <t>External AI services plus the manual regulatory-change import path. Not a schema item.</t>
        </is>
      </c>
      <c r="Q72" s="2" t="inlineStr"/>
      <c r="R72" s="3" t="inlineStr">
        <is>
          <t>No direct test</t>
        </is>
      </c>
      <c r="S72" s="3" t="inlineStr">
        <is>
          <t>E22, E29, E36</t>
        </is>
      </c>
      <c r="T72" s="2" t="n">
        <v>13</v>
      </c>
    </row>
  </sheetData>
  <conditionalFormatting sqref="H2:H72">
    <cfRule type="expression" priority="1" dxfId="0" stopIfTrue="1">
      <formula>H2="a"</formula>
    </cfRule>
    <cfRule type="expression" priority="2" dxfId="1" stopIfTrue="1">
      <formula>H2="b"</formula>
    </cfRule>
    <cfRule type="expression" priority="3" dxfId="2" stopIfTrue="1">
      <formula>H2="c"</formula>
    </cfRule>
    <cfRule type="expression" priority="4" dxfId="3" stopIfTrue="1">
      <formula>H2="d"</formula>
    </cfRule>
  </conditionalFormatting>
  <conditionalFormatting sqref="L2:L72">
    <cfRule type="expression" priority="5" dxfId="0" stopIfTrue="1">
      <formula>L2="Pass"</formula>
    </cfRule>
    <cfRule type="expression" priority="6" dxfId="4" stopIfTrue="1">
      <formula>L2="Pass (qualified)"</formula>
    </cfRule>
    <cfRule type="expression" priority="7" dxfId="2" stopIfTrue="1">
      <formula>L2="No direct test"</formula>
    </cfRule>
    <cfRule type="expression" priority="8" dxfId="3" stopIfTrue="1">
      <formula>L2="Fail"</formula>
    </cfRule>
  </conditionalFormatting>
  <conditionalFormatting sqref="N2:N72">
    <cfRule type="expression" priority="9" dxfId="2" stopIfTrue="1">
      <formula>N2="No direct test"</formula>
    </cfRule>
    <cfRule type="expression" priority="10" dxfId="3" stopIfTrue="1">
      <formula>N2="Failing test"</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T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26" customWidth="1" min="4" max="4"/>
    <col width="22" customWidth="1" min="5" max="5"/>
    <col width="60" customWidth="1" min="6" max="6"/>
    <col width="60" customWidth="1" min="7" max="7"/>
    <col width="13" customWidth="1" min="8" max="8"/>
    <col width="20" customWidth="1" min="9" max="9"/>
    <col width="42" customWidth="1" min="10" max="10"/>
    <col width="52" customWidth="1" min="11" max="11"/>
    <col width="16" customWidth="1" min="12" max="12"/>
    <col width="18" customWidth="1" min="13" max="13"/>
    <col width="14" customWidth="1" min="14" max="14"/>
    <col width="13" customWidth="1" min="15" max="15"/>
    <col width="34" customWidth="1" min="16" max="16"/>
    <col width="13" customWidth="1" min="17" max="17"/>
    <col width="20" customWidth="1" min="18" max="18"/>
    <col width="16" customWidth="1" min="19" max="19"/>
    <col width="13" customWidth="1" min="20" max="20"/>
  </cols>
  <sheetData>
    <row r="1" ht="43" customHeight="1">
      <c r="A1" s="1" t="inlineStr">
        <is>
          <t>ID</t>
        </is>
      </c>
      <c r="B1" s="1" t="inlineStr">
        <is>
          <t>Module</t>
        </is>
      </c>
      <c r="C1" s="1" t="inlineStr">
        <is>
          <t>Priority</t>
        </is>
      </c>
      <c r="D1" s="1" t="inlineStr">
        <is>
          <t>Short title</t>
        </is>
      </c>
      <c r="E1" s="1" t="inlineStr">
        <is>
          <t>Baseline title</t>
        </is>
      </c>
      <c r="F1" s="1" t="inlineStr">
        <is>
          <t>Requirement (baseline statement)</t>
        </is>
      </c>
      <c r="G1" s="1" t="inlineStr">
        <is>
          <t>What satisfies it</t>
        </is>
      </c>
      <c r="H1" s="1" t="inlineStr">
        <is>
          <t>Class</t>
        </is>
      </c>
      <c r="I1" s="1" t="inlineStr">
        <is>
          <t>Class meaning</t>
        </is>
      </c>
      <c r="J1" s="1" t="inlineStr">
        <is>
          <t>Demo data / workflow</t>
        </is>
      </c>
      <c r="K1" s="1" t="inlineStr">
        <is>
          <t>Test(s)</t>
        </is>
      </c>
      <c r="L1" s="1" t="inlineStr">
        <is>
          <t>Result</t>
        </is>
      </c>
      <c r="M1" s="1" t="inlineStr">
        <is>
          <t>Result as measured</t>
        </is>
      </c>
      <c r="N1" s="1" t="inlineStr">
        <is>
          <t>Test evidence</t>
        </is>
      </c>
      <c r="O1" s="1" t="inlineStr">
        <is>
          <t>Cited test methods (est.)</t>
        </is>
      </c>
      <c r="P1" s="1" t="inlineStr">
        <is>
          <t>Planned satisfaction (baseline)</t>
        </is>
      </c>
      <c r="Q1" s="1" t="inlineStr">
        <is>
          <t>Δ decision</t>
        </is>
      </c>
      <c r="R1" s="1" t="inlineStr">
        <is>
          <t>Gap sections citing it</t>
        </is>
      </c>
      <c r="S1" s="1" t="inlineStr">
        <is>
          <t>Epics tracing it</t>
        </is>
      </c>
      <c r="T1" s="1" t="inlineStr">
        <is>
          <t>Stories tracing it</t>
        </is>
      </c>
    </row>
    <row r="2" ht="56" customHeight="1">
      <c r="A2" s="2" t="inlineStr">
        <is>
          <t>G-1</t>
        </is>
      </c>
      <c r="B2" s="3" t="inlineStr">
        <is>
          <t>CGF</t>
        </is>
      </c>
      <c r="C2" s="2" t="inlineStr">
        <is>
          <t>Mandatory</t>
        </is>
      </c>
      <c r="D2" s="3" t="inlineStr">
        <is>
          <t>Central forum repository, role-based access</t>
        </is>
      </c>
      <c r="E2" s="3" t="inlineStr">
        <is>
          <t>Forum Repository</t>
        </is>
      </c>
      <c r="F2" s="3" t="inlineStr">
        <is>
          <t>The system shall provide a centralized, searchable repository of every committee and governance forum, holding forum details, charter documents and associated metadata. Access, visibility and permitted actions shall be governed by role-based access control.</t>
        </is>
      </c>
      <c r="G2" s="3" t="inlineStr">
        <is>
          <t>Governance Forum with DocPerm rows; /forums register and /forum detail over the permission-checked REST API; www/forum.py throws for a viewer without read access and offers Edit only with write permission.</t>
        </is>
      </c>
      <c r="H2" s="2" t="inlineStr">
        <is>
          <t>a</t>
        </is>
      </c>
      <c r="I2" s="3" t="inlineStr">
        <is>
          <t>(a) Portal screen</t>
        </is>
      </c>
      <c r="J2" s="3" t="inlineStr">
        <is>
          <t>14 forums, from FRM-2026-00001 Board of Directors down to working groups (FRM-2026-00013).</t>
        </is>
      </c>
      <c r="K2" s="3" t="inlineStr">
        <is>
          <t>governance.tests.test_entities.TestGovernanceEntities (all 19); governance.tests.test_inventory.TestSearchAndFilter.test_search_respects_permissions; consilium_core.tests.test_portal_pages.TestReaderWithoutAccess (all 2)</t>
        </is>
      </c>
      <c r="L2" s="3" t="inlineStr">
        <is>
          <t>Pass</t>
        </is>
      </c>
      <c r="M2" s="3" t="inlineStr">
        <is>
          <t>✅</t>
        </is>
      </c>
      <c r="N2" s="3" t="inlineStr">
        <is>
          <t>Direct test</t>
        </is>
      </c>
      <c r="O2" s="2" t="n">
        <v>25</v>
      </c>
      <c r="P2" s="3" t="inlineStr">
        <is>
          <t>Config — Governance Forum DocType, attachment handling and the permission engine are native; the register screen is a custom Bootstrap table.</t>
        </is>
      </c>
      <c r="Q2" s="2" t="inlineStr"/>
      <c r="R2" s="3" t="inlineStr"/>
      <c r="S2" s="3" t="inlineStr">
        <is>
          <t>E6</t>
        </is>
      </c>
      <c r="T2" s="2" t="n">
        <v>6</v>
      </c>
    </row>
    <row r="3" ht="95" customHeight="1">
      <c r="A3" s="2" t="inlineStr">
        <is>
          <t>G-2</t>
        </is>
      </c>
      <c r="B3" s="3" t="inlineStr">
        <is>
          <t>CGF</t>
        </is>
      </c>
      <c r="C3" s="2" t="inlineStr">
        <is>
          <t>Mandatory</t>
        </is>
      </c>
      <c r="D3" s="3" t="inlineStr">
        <is>
          <t>Advanced search and filter</t>
        </is>
      </c>
      <c r="E3" s="3" t="inlineStr">
        <is>
          <t>Search and Retrieval</t>
        </is>
      </c>
      <c r="F3" s="3" t="inlineStr">
        <is>
          <t>The system shall provide advanced search and filtering of forums by any indexed metadata field.</t>
        </is>
      </c>
      <c r="G3" s="3" t="inlineStr">
        <is>
          <t>/forums filters by type, status, cadence, risk category, operating group and standing, plus the four multi-valued dimensions (inventory.inventory_filters, inventory.tagged_forum_names, intersecting). Free-text search over name, code and mandate, also taken from ?q=. The header's global search finds a forum by identifier or name from any page (consilium_core/search.py). Retired taxonomy values are marked, not offered as new. Paged server-side, with Export CSV.</t>
        </is>
      </c>
      <c r="H3" s="2" t="inlineStr">
        <is>
          <t>a</t>
        </is>
      </c>
      <c r="I3" s="3" t="inlineStr">
        <is>
          <t>(a) Portal screen</t>
        </is>
      </c>
      <c r="J3" s="3" t="inlineStr">
        <is>
          <t>/forums?standing=overdue lists FRM-2026-00008 Model Risk Committee (review due 2026-08-14).</t>
        </is>
      </c>
      <c r="K3" s="3" t="inlineStr">
        <is>
          <t>governance.tests.test_inventory.TestSearchAndFilter (all 4); governance.tests.test_governance_gaps.TestInventoryReads.test_tagged_filters_intersect, …test_tagged_names_respect_permission, …test_filter_values_include_retired_ones_marked; consilium_core.tests.test_global_search.TestGlobalSearch (all 9)</t>
        </is>
      </c>
      <c r="L3" s="3" t="inlineStr">
        <is>
          <t>Pass</t>
        </is>
      </c>
      <c r="M3" s="3" t="inlineStr">
        <is>
          <t>✅</t>
        </is>
      </c>
      <c r="N3" s="3" t="inlineStr">
        <is>
          <t>Direct test</t>
        </is>
      </c>
      <c r="O3" s="2" t="n">
        <v>19</v>
      </c>
      <c r="P3" s="3" t="inlineStr">
        <is>
          <t>Config + Build — native list filtering and report views on Desk; a hand-built filter/search/sort/paginate control on the custom Forum Register.</t>
        </is>
      </c>
      <c r="Q3" s="2" t="inlineStr">
        <is>
          <t>Δ</t>
        </is>
      </c>
      <c r="R3" s="3" t="inlineStr"/>
      <c r="S3" s="3" t="inlineStr">
        <is>
          <t>E6, E35</t>
        </is>
      </c>
      <c r="T3" s="2" t="n">
        <v>11</v>
      </c>
    </row>
    <row r="4" ht="82" customHeight="1">
      <c r="A4" s="2" t="inlineStr">
        <is>
          <t>G-3</t>
        </is>
      </c>
      <c r="B4" s="3" t="inlineStr">
        <is>
          <t>CGF</t>
        </is>
      </c>
      <c r="C4" s="2" t="inlineStr">
        <is>
          <t>Mandatory</t>
        </is>
      </c>
      <c r="D4" s="3" t="inlineStr">
        <is>
          <t>Forum tagging with controlled taxonomies</t>
        </is>
      </c>
      <c r="E4" s="3" t="inlineStr">
        <is>
          <t>Forum Tagging</t>
        </is>
      </c>
      <c r="F4" s="3" t="inlineStr">
        <is>
          <t>The system shall allow a forum to be tagged with controlled metadata drawn from standard taxonomies, with dependent-field behaviour and dropdown-controlled selection. Minimum attributes: forum identifier, name, type, description, meeting cadence, chair, primary risk category, legal entity, owning organisation (operating group) and owning organisation (line of business).</t>
        </is>
      </c>
      <c r="G4" s="3" t="inlineStr">
        <is>
          <t>Link fields plus four multi-select child tables (business unit, risk type, legal entity, jurisdiction). Operating-group and line-of-business validation. Captured in /create-forum and on desk; shown on /forum. Retired values are not offered (taxonomy standard_queries hook).</t>
        </is>
      </c>
      <c r="H4" s="2" t="inlineStr">
        <is>
          <t>a</t>
        </is>
      </c>
      <c r="I4" s="3" t="inlineStr">
        <is>
          <t>(a) Portal screen</t>
        </is>
      </c>
      <c r="J4" s="3" t="inlineStr">
        <is>
          <t>FRM-2026-00007 Technology and Cyber Risk Committee: type MGMT_CTTE, regulatory-required, 2 business units and 3 risk types.</t>
        </is>
      </c>
      <c r="K4" s="3" t="inlineStr">
        <is>
          <t>test_entities.TestGovernanceEntities.test_four_dimensions_are_multi_valued_and_two_are_not, …test_the_owning_organisation_must_be_an_operating_group, …test_a_line_of_business_must_sit_under_its_operating_group; consilium_core.tests.test_entities.TestTaxonomies (all 9); consilium_core.tests.test_taxonomy.TestActiveOnlySearch (all 6)</t>
        </is>
      </c>
      <c r="L4" s="3" t="inlineStr">
        <is>
          <t>Pass</t>
        </is>
      </c>
      <c r="M4" s="3" t="inlineStr">
        <is>
          <t>✅</t>
        </is>
      </c>
      <c r="N4" s="3" t="inlineStr">
        <is>
          <t>Direct test</t>
        </is>
      </c>
      <c r="O4" s="2" t="n">
        <v>20</v>
      </c>
      <c r="P4" s="3" t="inlineStr">
        <is>
          <t>Config — Link fields to Core taxonomy DocTypes plus child multi-select tables.</t>
        </is>
      </c>
      <c r="Q4" s="2" t="inlineStr">
        <is>
          <t>Δ</t>
        </is>
      </c>
      <c r="R4" s="3" t="inlineStr"/>
      <c r="S4" s="3" t="inlineStr">
        <is>
          <t>E3, E6</t>
        </is>
      </c>
      <c r="T4" s="2" t="n">
        <v>11</v>
      </c>
    </row>
    <row r="5" ht="69" customHeight="1">
      <c r="A5" s="2" t="inlineStr">
        <is>
          <t>G-4</t>
        </is>
      </c>
      <c r="B5" s="3" t="inlineStr">
        <is>
          <t>CGF</t>
        </is>
      </c>
      <c r="C5" s="2" t="inlineStr">
        <is>
          <t>Mandatory</t>
        </is>
      </c>
      <c r="D5" s="3" t="inlineStr">
        <is>
          <t>Forum mapping; regulatory-required with dependent capture</t>
        </is>
      </c>
      <c r="E5" s="3" t="inlineStr">
        <is>
          <t>Forum Mapping</t>
        </is>
      </c>
      <c r="F5" s="3" t="inlineStr">
        <is>
          <t>The system shall allow a forum to be mapped to related forums (upstream and downstream), to be flagged as regulatory-required with dependent capture of the applicable regulatory requirements.</t>
        </is>
      </c>
      <c r="G5" s="3" t="inlineStr">
        <is>
          <t>parent_forum, Forum Link (upstream and downstream), and Forum Regulatory Requirement, required when the flag is set. inventory.interconnectivity is drawn as SVG on /forum (Linkages tab). Links are edited on desk.</t>
        </is>
      </c>
      <c r="H5" s="2" t="inlineStr">
        <is>
          <t>a</t>
        </is>
      </c>
      <c r="I5" s="3" t="inlineStr">
        <is>
          <t>(a) Portal screen</t>
        </is>
      </c>
      <c r="J5" s="3" t="inlineStr">
        <is>
          <t>15 Forum Link rows. FRM-2026-00005 Executive Risk Committee answers to FRM-2026-00004 and FRM-2026-00002 and has five sub-committees. 7 regulatory-required forums, for example FRM-2026-00010 with 2 requirements.</t>
        </is>
      </c>
      <c r="K5" s="3" t="inlineStr">
        <is>
          <t>test_entities.…test_regulatory_detail_becomes_required_when_the_flag_is_set, …test_a_forum_cannot_be_its_own_ancestor, …test_a_link_takes_its_direction_from_the_field_it_sits_in, …test_a_forum_cannot_link_to_itself; test_inventory.TestRelationships (all 2)</t>
        </is>
      </c>
      <c r="L5" s="3" t="inlineStr">
        <is>
          <t>Pass</t>
        </is>
      </c>
      <c r="M5" s="3" t="inlineStr">
        <is>
          <t>✅</t>
        </is>
      </c>
      <c r="N5" s="3" t="inlineStr">
        <is>
          <t>Direct test</t>
        </is>
      </c>
      <c r="O5" s="2" t="n">
        <v>6</v>
      </c>
      <c r="P5" s="3" t="inlineStr">
        <is>
          <t>Config — self-referencing child table Forum Link; Forum Regulatory Requirement child table gated on a check field.</t>
        </is>
      </c>
      <c r="Q5" s="2" t="inlineStr"/>
      <c r="R5" s="3" t="inlineStr"/>
      <c r="S5" s="3" t="inlineStr">
        <is>
          <t>E6</t>
        </is>
      </c>
      <c r="T5" s="2" t="n">
        <v>6</v>
      </c>
    </row>
    <row r="6" ht="134" customHeight="1">
      <c r="A6" s="2" t="inlineStr">
        <is>
          <t>G-5</t>
        </is>
      </c>
      <c r="B6" s="3" t="inlineStr">
        <is>
          <t>CGF</t>
        </is>
      </c>
      <c r="C6" s="2" t="inlineStr">
        <is>
          <t>Mandatory</t>
        </is>
      </c>
      <c r="D6" s="3" t="inlineStr">
        <is>
          <t>Committee formation: intake, 5-criteria evaluation, evidence, exceptions, status</t>
        </is>
      </c>
      <c r="E6" s="3" t="inlineStr">
        <is>
          <t>Committee Formation</t>
        </is>
      </c>
      <c r="F6" s="3" t="inlineStr">
        <is>
          <t>The system shall support the committee formation process: structured intake, evaluation against defined criteria, capture of approval evidence, exception handling and status tracking. Evaluation criteria: gap in risk or governance coverage; duplication with existing forums; clear escalation and reporting pathways; alignment with the risk management framework, risk taxonomy and policy structure; resource feasibility. Charter drafts must be reviewable by the Risk Governance Office for completeness and appropriateness before approval. Acceptable approval evidence includes email, meeting minutes and signed documents. Disputes and exceptions resolve through the Head of Risk Governance.</t>
        </is>
      </c>
      <c r="G6" s="3" t="inlineStr">
        <is>
          <t>Committee Formation Request + Formation Evaluation (5 criteria seeded) + formation.py. /create-forum → /formation-requests → /formation-request covers findings, return and respond, approval steps, exception to the designated authority, charter challenge, approve, reject and withdraw. Approval creates a draft forum. Gap: Charter Approval Evidence rows are captured on desk only (DK-1 is in the trace).</t>
        </is>
      </c>
      <c r="H6" s="2" t="inlineStr">
        <is>
          <t>a</t>
        </is>
      </c>
      <c r="I6" s="3" t="inlineStr">
        <is>
          <t>(a) Portal screen</t>
        </is>
      </c>
      <c r="J6" s="3" t="inlineStr">
        <is>
          <t>One request at each stage: CFR-2026-00006 Draft; 00004 Under Evaluation; 00003 Returned To Originator; 00002 Pending Approval; 00005 Rejected; 00001 Approved → FRM-2026-00014 Data Governance Council, with bypass EXCA-00001.</t>
        </is>
      </c>
      <c r="K6" s="3" t="inlineStr">
        <is>
          <t>governance.tests.test_formation (all 27: TestIntake, TestEvaluation, TestReturnToOriginator, TestApprovalRoute, TestExceptionRoute, TestApprovalCreatesTheForum); governance.tests.test_formation_portal (all 35)</t>
        </is>
      </c>
      <c r="L6" s="3" t="inlineStr">
        <is>
          <t>Pass</t>
        </is>
      </c>
      <c r="M6" s="3" t="inlineStr">
        <is>
          <t>✅</t>
        </is>
      </c>
      <c r="N6" s="3" t="inlineStr">
        <is>
          <t>Direct test</t>
        </is>
      </c>
      <c r="O6" s="2" t="n">
        <v>64</v>
      </c>
      <c r="P6" s="3" t="inlineStr">
        <is>
          <t>Config + Build — Committee Formation Request with a configured multi-state workflow; Forum Evaluation child table; Committee Charter with attached approval evidence. Build: the gating logic that prevents progression.</t>
        </is>
      </c>
      <c r="Q6" s="2" t="inlineStr">
        <is>
          <t>Δ</t>
        </is>
      </c>
      <c r="R6" s="3" t="inlineStr"/>
      <c r="S6" s="3" t="inlineStr">
        <is>
          <t>E7</t>
        </is>
      </c>
      <c r="T6" s="2" t="n">
        <v>6</v>
      </c>
    </row>
    <row r="7" ht="69" customHeight="1">
      <c r="A7" s="2" t="inlineStr">
        <is>
          <t>G-6</t>
        </is>
      </c>
      <c r="B7" s="3" t="inlineStr">
        <is>
          <t>CGF</t>
        </is>
      </c>
      <c r="C7" s="2" t="inlineStr">
        <is>
          <t>Mandatory</t>
        </is>
      </c>
      <c r="D7" s="3" t="inlineStr">
        <is>
          <t>Admin-configurable workflows, no code</t>
        </is>
      </c>
      <c r="E7" s="3" t="inlineStr">
        <is>
          <t>Configurable Automated Workflow</t>
        </is>
      </c>
      <c r="F7" s="3" t="inlineStr">
        <is>
          <t>The system shall support administratively configurable automated workflows for establishing, maintaining and disbanding forums, including approvals and escalations, without custom development.</t>
        </is>
      </c>
      <c r="G7" s="3" t="inlineStr">
        <is>
          <t>Formation Approval Route (steps, sequence and mode as data); Workflow State Flag (130 rows); Watched Field Set; disbandment trigger scenarios and approver roles are select options. Nothing branches on a state label. All on desk.</t>
        </is>
      </c>
      <c r="H7" s="2" t="inlineStr">
        <is>
          <t>b</t>
        </is>
      </c>
      <c r="I7" s="3" t="inlineStr">
        <is>
          <t>(b) Desk / config / job by design</t>
        </is>
      </c>
      <c r="J7" s="3" t="inlineStr">
        <is>
          <t>"Standard Formation Approval" route (request type Any). CFR-2026-00002 shows the three steps it raised.</t>
        </is>
      </c>
      <c r="K7" s="3" t="inlineStr">
        <is>
          <t>test_formation.TestApprovalRoute.test_the_steps_are_configuration, …test_a_route_change_changes_the_steps_without_a_deployment; consilium_core.tests.test_state_flags.TestStateFlags (all 7); governance.tests.test_lifecycle.TestStateFlags (all 3); test_lifecycle.TestWatchedFields (all 5)</t>
        </is>
      </c>
      <c r="L7" s="3" t="inlineStr">
        <is>
          <t>Pass</t>
        </is>
      </c>
      <c r="M7" s="3" t="inlineStr">
        <is>
          <t>✅</t>
        </is>
      </c>
      <c r="N7" s="3" t="inlineStr">
        <is>
          <t>Direct test</t>
        </is>
      </c>
      <c r="O7" s="2" t="n">
        <v>19</v>
      </c>
      <c r="P7" s="3" t="inlineStr">
        <is>
          <t>Native + Config — the framework's Workflow engine (states, transitions, role gates) is a configuration record, editable by an administrator.</t>
        </is>
      </c>
      <c r="Q7" s="2" t="inlineStr">
        <is>
          <t>Δ</t>
        </is>
      </c>
      <c r="R7" s="3" t="inlineStr"/>
      <c r="S7" s="3" t="inlineStr">
        <is>
          <t>E7</t>
        </is>
      </c>
      <c r="T7" s="2" t="n">
        <v>6</v>
      </c>
    </row>
    <row r="8" ht="108" customHeight="1">
      <c r="A8" s="2" t="inlineStr">
        <is>
          <t>G-7</t>
        </is>
      </c>
      <c r="B8" s="3" t="inlineStr">
        <is>
          <t>CGF</t>
        </is>
      </c>
      <c r="C8" s="2" t="inlineStr">
        <is>
          <t>Mandatory</t>
        </is>
      </c>
      <c r="D8" s="3" t="inlineStr">
        <is>
          <t>Governance office controls: completeness, overlap check, charter challenge before approval, validate approvals</t>
        </is>
      </c>
      <c r="E8" s="3" t="inlineStr">
        <is>
          <t>Risk Governance Office Controls</t>
        </is>
      </c>
      <c r="F8" s="3" t="inlineStr">
        <is>
          <t>The system shall prevent progression of a formation request when required information, approvals or evidence are incomplete or inconsistent. It shall validate intake completeness, check the request against the existing forum inventory for overlap or conflict, allow review and challenge of the draft charter before the requester seeks final approval, and validate submitted approvals against the intake record and charter before the forum inventory is updated.</t>
        </is>
      </c>
      <c r="G8" s="3" t="inlineStr">
        <is>
          <t>formation.approval_blockers covers: unassessed criteria; completeness confirmation; undecided steps; refused steps not bypassed; and an uncleared charter challenge (charters.uncleared_challenges). The challenge is recorded on /formation-request (charters.record_charter_challenge). An open challenge also blocks a favourable compliance decision (lifecycle.refuse_standing_over_open_challenge). Gap: the charter's approval evidence (in charters.clearance_blockers) is shown on /forum but is not a formation approval blocker.</t>
        </is>
      </c>
      <c r="H8" s="2" t="inlineStr">
        <is>
          <t>a</t>
        </is>
      </c>
      <c r="I8" s="3" t="inlineStr">
        <is>
          <t>(a) Portal screen</t>
        </is>
      </c>
      <c r="J8" s="3" t="inlineStr">
        <is>
          <t>CFR-2026-00002 is held by CHT-2026-00014 "Changes Requested" and by an open Delegating Authority step. CHT-2026-00007 (FRM-2026-00007) "Changes Requested".</t>
        </is>
      </c>
      <c r="K8" s="3" t="inlineStr">
        <is>
          <t>test_formation.TestIntake.test_submission_runs_the_overlap_check; TestEvaluation (all 4); governance.tests.test_governance_gaps.TestFormationCharterGate (all 2), TestStandingGate (all 3); governance.tests.test_wave3_governance.TestCharterChallengeOnTheRequest (all 2); governance.tests.test_charters.TestEffectiveChallenge (all 4)</t>
        </is>
      </c>
      <c r="L8" s="3" t="inlineStr">
        <is>
          <t>Pass</t>
        </is>
      </c>
      <c r="M8" s="3" t="inlineStr">
        <is>
          <t>✅</t>
        </is>
      </c>
      <c r="N8" s="3" t="inlineStr">
        <is>
          <t>Direct test</t>
        </is>
      </c>
      <c r="O8" s="2" t="n">
        <v>19</v>
      </c>
      <c r="P8" s="3" t="inlineStr">
        <is>
          <t>Build — server-side validation on workflow transition; duplicate-detection query against the forum register; completeness gate on the evaluation child table.</t>
        </is>
      </c>
      <c r="Q8" s="2" t="inlineStr"/>
      <c r="R8" s="3" t="inlineStr"/>
      <c r="S8" s="3" t="inlineStr">
        <is>
          <t>E7, E33</t>
        </is>
      </c>
      <c r="T8" s="2" t="n">
        <v>7</v>
      </c>
    </row>
    <row r="9" ht="134" customHeight="1">
      <c r="A9" s="2" t="inlineStr">
        <is>
          <t>G-8</t>
        </is>
      </c>
      <c r="B9" s="3" t="inlineStr">
        <is>
          <t>CGF</t>
        </is>
      </c>
      <c r="C9" s="2" t="inlineStr">
        <is>
          <t>Mandatory</t>
        </is>
      </c>
      <c r="D9" s="3" t="inlineStr">
        <is>
          <t>Multi-step, sequential or parallel approval; path by materiality and forum type</t>
        </is>
      </c>
      <c r="E9" s="3" t="inlineStr">
        <is>
          <t>Configurable Review and Approval Workflow</t>
        </is>
      </c>
      <c r="F9" s="3" t="inlineStr">
        <is>
          <t>The system shall support a multi-step approval process across stakeholders and roles, with sequential or parallel approvals, capturing charter approval. Approval paths may differ by materiality of change and by forum type.</t>
        </is>
      </c>
      <c r="G9" s="3" t="inlineStr">
        <is>
          <t>Route steps become Core Approval Decisions. Sequential order is enforced in approvals.record_decision (waiting_on, is_turn). Parallel steps and peers sharing a sequence number do not wait. Role-based steps form a queue. Steps are decided on /formation-request by the assignee, a queue member or a delegate. A bypass needs an Exception Authorisation, waives only its own step, and cannot be made by the step's own holder. Missing: the path cannot differ by forum type or by materiality of change. formation.resolve_route selects only by request_type (Any, Create, Modify, Retire), and Formation Approval Route has no forum-type or materiality field.</t>
        </is>
      </c>
      <c r="H9" s="2" t="inlineStr">
        <is>
          <t>d</t>
        </is>
      </c>
      <c r="I9" s="3" t="inlineStr">
        <is>
          <t>(d) Not implemented (whole or mandatory part)</t>
        </is>
      </c>
      <c r="J9" s="3" t="inlineStr">
        <is>
          <t>CFR-2026-00002: Risk Governance Office Evaluation (seq 1) approved, Sponsor Endorsement (seq 2) approved, Delegating Authority (seq 2) pending. CFR-2026-00001: Sponsor step bypassed under EXCA-00001.</t>
        </is>
      </c>
      <c r="K9" s="3" t="inlineStr">
        <is>
          <t>test_formation.TestApprovalRoute (all 5); test_formation_portal.TestApprovalThroughThePortal (all 5); consilium_core.tests.test_core_controls_wave3.TestSequentialApprovals (all 6); governance.tests.test_wave3_governance.TestFormationStepOrder (all 4); governance.tests.test_w3_guides.TestABypassWaivesOnlyItsOwnStep (all 1), TestNobodyBypassesTheirOwnStep (all 2), TestARoleIsAQueue (all 5); consilium_core.tests.test_services.TestApprovals (all 5)</t>
        </is>
      </c>
      <c r="L9" s="3" t="inlineStr">
        <is>
          <t>Pass (qualified)</t>
        </is>
      </c>
      <c r="M9" s="3" t="inlineStr">
        <is>
          <t>✅ (not the path-selection clause)</t>
        </is>
      </c>
      <c r="N9" s="3" t="inlineStr">
        <is>
          <t>Direct test</t>
        </is>
      </c>
      <c r="O9" s="2" t="n">
        <v>37</v>
      </c>
      <c r="P9" s="3" t="inlineStr">
        <is>
          <t>Config + Build — workflow states and role-gated transitions; build for conditional path selection by change materiality.</t>
        </is>
      </c>
      <c r="Q9" s="2" t="inlineStr"/>
      <c r="R9" s="3" t="inlineStr">
        <is>
          <t>Class (d), No direct test</t>
        </is>
      </c>
      <c r="S9" s="3" t="inlineStr">
        <is>
          <t>E7</t>
        </is>
      </c>
      <c r="T9" s="2" t="n">
        <v>6</v>
      </c>
    </row>
    <row r="10" ht="95" customHeight="1">
      <c r="A10" s="2" t="inlineStr">
        <is>
          <t>G-9</t>
        </is>
      </c>
      <c r="B10" s="3" t="inlineStr">
        <is>
          <t>CGF</t>
        </is>
      </c>
      <c r="C10" s="2" t="inlineStr">
        <is>
          <t>Mandatory</t>
        </is>
      </c>
      <c r="D10" s="3" t="inlineStr">
        <is>
          <t>Full history, attributed; archivable prior versions; revert a forum record</t>
        </is>
      </c>
      <c r="E10" s="3" t="inlineStr">
        <is>
          <t>Version Control, Audit History and Accountability</t>
        </is>
      </c>
      <c r="F10" s="3" t="inlineStr">
        <is>
          <t>The system shall track every change to a forum, maintain complete history, and log every user action with a timestamp and attributed actor. Prior versions shall be archivable and viewable. The system shall additionally allow an authorised user to revert a forum record to a previous version.</t>
        </is>
      </c>
      <c r="G10" s="3" t="inlineStr">
        <is>
          <t>A revision.snapshot doc event on Governance Forum writes a version chain. /forum History tab offers a revision history with Revert (revision.history and revision.revert: reason required, governance office only; lifecycle and derived fields are never restored; reverting a watched field sends the forum back for review). Record history (evidence.record_history, now including notifications) and an evidence-pack ZIP with a SHA-256 manifest (evidence.export_pack).</t>
        </is>
      </c>
      <c r="H10" s="2" t="inlineStr">
        <is>
          <t>a</t>
        </is>
      </c>
      <c r="I10" s="3" t="inlineStr">
        <is>
          <t>(a) Portal screen</t>
        </is>
      </c>
      <c r="J10" s="3" t="inlineStr">
        <is>
          <t>VREV-00001: FRM-2026-00010 Asset-Liability Committee reverted to DVER-00109 with a justification. 40 forum versions.</t>
        </is>
      </c>
      <c r="K10" s="3" t="inlineStr">
        <is>
          <t>consilium_core.tests.test_revision.TestForumRevision (all 5); governance.tests.test_governance_gaps.TestForumRevisionCard (all 1); consilium_core.tests.test_core_controls_wave3.TestHistoryAndEvidencePack (all 4); consilium_core.tests.test_versioning.TestVersioning (all 9); consilium_core.tests.test_entities.TestEntityStructure.test_governed_entities_keep_their_change_history</t>
        </is>
      </c>
      <c r="L10" s="3" t="inlineStr">
        <is>
          <t>Pass</t>
        </is>
      </c>
      <c r="M10" s="3" t="inlineStr">
        <is>
          <t>✅</t>
        </is>
      </c>
      <c r="N10" s="3" t="inlineStr">
        <is>
          <t>Direct test</t>
        </is>
      </c>
      <c r="O10" s="2" t="n">
        <v>25</v>
      </c>
      <c r="P10" s="3" t="inlineStr">
        <is>
          <t>Native + Build — field-level version log and comment threads are native; revert is a build.</t>
        </is>
      </c>
      <c r="Q10" s="2" t="inlineStr">
        <is>
          <t>Δ</t>
        </is>
      </c>
      <c r="R10" s="3" t="inlineStr"/>
      <c r="S10" s="3" t="inlineStr">
        <is>
          <t>E4, E30</t>
        </is>
      </c>
      <c r="T10" s="2" t="n">
        <v>6</v>
      </c>
    </row>
    <row r="11" ht="160" customHeight="1">
      <c r="A11" s="2" t="inlineStr">
        <is>
          <t>G-10</t>
        </is>
      </c>
      <c r="B11" s="3" t="inlineStr">
        <is>
          <t>CGF</t>
        </is>
      </c>
      <c r="C11" s="2" t="inlineStr">
        <is>
          <t>Mandatory</t>
        </is>
      </c>
      <c r="D11" s="3" t="inlineStr">
        <is>
          <t>Periodic reviews; annual Q1 inventory attestation by chairs, secretaries, owners</t>
        </is>
      </c>
      <c r="E11" s="3" t="inlineStr">
        <is>
          <t>Forum Maintenance</t>
        </is>
      </c>
      <c r="F11" s="3" t="inlineStr">
        <is>
          <t>The system shall support periodic review schedules including self-assessments, charter reviews and monitoring activities. It shall enforce an annual attestation, conducted in the first quarter, requiring Committee Chairs, Committee Secretaries and Forum Owners to review and confirm the accuracy of the forum inventory.</t>
        </is>
      </c>
      <c r="G11" s="3" t="inlineStr">
        <is>
          <t>Attestation engine with inventory and dual-review campaign types (reviews.open_inventory_attestation; attesting seats CHAIR, SECRETARY, FORUM_OWNER have can_attest). The office opens campaigns and generates tasks from /attestation-campaigns (reviews.open_forum_campaign, generate_forum_campaign_tasks). Tasks are answered and counter-signed in /tasks. Reminders follow each campaign's schedule (reminders.remind_attestation_campaigns, daily). The annual review is run from the forum (/forum-review#annual-review). The overdue chase goes to owners (reminders.remind_forum_reviews). last_attested_on is stamped. Missing: nothing enforces or schedules the first quarter. No job opens the Q1 campaign or flags a year with none. The screen defaults the due date to today + 45 days and accepts any dates.</t>
        </is>
      </c>
      <c r="H11" s="2" t="inlineStr">
        <is>
          <t>d</t>
        </is>
      </c>
      <c r="I11" s="3" t="inlineStr">
        <is>
          <t>(d) Not implemented (whole or mandatory part)</t>
        </is>
      </c>
      <c r="J11" s="3" t="inlineStr">
        <is>
          <t>ACAM-00002 "Forum inventory attestation 2026": 22 attested, 3 with exceptions, 3 declined, 11 pending. It opened 2026-08-04, due 2026-10-03, so outside Q1. ACAM-00003 dual review; ACAM-00001 (2025) closed. Annual reviews FCR-2026-00015/16/17.</t>
        </is>
      </c>
      <c r="K11" s="3" t="inlineStr">
        <is>
          <t>consilium_core.tests.test_attestation.TestAttestation (all 13), TestUnconfiguredRecordsDoNotStopACampaign (all 3); consilium_core.tests.test_inbox.TestInboxAttestation (all 8), TestSecondSignature (all 3), TestCampaignAdministration (all 5); consilium_core.tests.test_w3_guides_core.TestCampaignReminderSchedule (all 4); consilium_core.tests.test_reminders.TestForumReviewReminders (all 1); governance.tests.test_lifecycle.TestAnnualReview (all 4); governance.tests.test_w3_guides.TestAnnualReviewFromTheForum (all 4); test_inventory.TestAttestationStamp (all 3)</t>
        </is>
      </c>
      <c r="L11" s="3" t="inlineStr">
        <is>
          <t>Pass (qualified)</t>
        </is>
      </c>
      <c r="M11" s="3" t="inlineStr">
        <is>
          <t>✅ (not the Q1 clause)</t>
        </is>
      </c>
      <c r="N11" s="3" t="inlineStr">
        <is>
          <t>Direct test</t>
        </is>
      </c>
      <c r="O11" s="2" t="n">
        <v>54</v>
      </c>
      <c r="P11" s="3" t="inlineStr">
        <is>
          <t>Build — the shared attestation campaign/task engine, with a CGF inventory campaign type; scheduled job generates tasks and reminders.</t>
        </is>
      </c>
      <c r="Q11" s="2" t="inlineStr">
        <is>
          <t>Δ</t>
        </is>
      </c>
      <c r="R11" s="3" t="inlineStr">
        <is>
          <t>Class (d), No direct test</t>
        </is>
      </c>
      <c r="S11" s="3" t="inlineStr">
        <is>
          <t>E8, E18, E28</t>
        </is>
      </c>
      <c r="T11" s="2" t="n">
        <v>13</v>
      </c>
    </row>
    <row r="12" ht="82" customHeight="1">
      <c r="A12" s="2" t="inlineStr">
        <is>
          <t>G-11</t>
        </is>
      </c>
      <c r="B12" s="3" t="inlineStr">
        <is>
          <t>CGF</t>
        </is>
      </c>
      <c r="C12" s="2" t="inlineStr">
        <is>
          <t>Mandatory</t>
        </is>
      </c>
      <c r="D12" s="3" t="inlineStr">
        <is>
          <t>Configurable disbandment: triggers, approvals, plan artefact</t>
        </is>
      </c>
      <c r="E12" s="3" t="inlineStr">
        <is>
          <t>Committee Disbanding</t>
        </is>
      </c>
      <c r="F12" s="3" t="inlineStr">
        <is>
          <t>The system shall provide a configurable disbandment workflow covering trigger scenarios (annual inventory review, self-assessment outcome, charter review, completion of mandate), validation of closure approvals from the delegating authority, sponsor, chair and — where applicable — the jurisdictional Chief Risk Officer, and capture of a formal disbandment plan as an uploaded, tracked artefact.</t>
        </is>
      </c>
      <c r="G12" s="3" t="inlineStr">
        <is>
          <t>/forum-disband (linked from /forum): lifecycle.raise_disbandment_plan (the governance office; five trigger scenarios; delegating authority, sponsor and chair required, jurisdictional CRO optional); attach_disbandment_file (only a file attached to this plan); record_disbandment_decision (approver or delegate); execute_forum_disbandment (waits for every approval; the forum becomes inactive, never deleted).</t>
        </is>
      </c>
      <c r="H12" s="2" t="inlineStr">
        <is>
          <t>a</t>
        </is>
      </c>
      <c r="I12" s="3" t="inlineStr">
        <is>
          <t>(a) Portal screen</t>
        </is>
      </c>
      <c r="J12" s="3" t="inlineStr">
        <is>
          <t>FDIS-2026-00001: FRM-2026-00012 Outsourcing Oversight Forum disbanded 2026-04-21, successor FRM-2026-00013. FDIS-2026-00002 (FRM-2026-00013) live: delegating authority approved, sponsor and chair pending. Neither demo plan has a plan file attached.</t>
        </is>
      </c>
      <c r="K12" s="3" t="inlineStr">
        <is>
          <t>governance.tests.test_governance_gaps.TestDisbandmentPortal (all 8); governance.tests.test_lifecycle.TestDisbandment (all 5); test_entities.…test_a_disbandment_plan_needs_the_approvals_it_requires; test_formation_portal.TestComplianceReviewThroughThePortal.test_a_disbanded_forum_is_not_reviewed_again</t>
        </is>
      </c>
      <c r="L12" s="3" t="inlineStr">
        <is>
          <t>Pass</t>
        </is>
      </c>
      <c r="M12" s="3" t="inlineStr">
        <is>
          <t>✅</t>
        </is>
      </c>
      <c r="N12" s="3" t="inlineStr">
        <is>
          <t>Direct test</t>
        </is>
      </c>
      <c r="O12" s="2" t="n">
        <v>17</v>
      </c>
      <c r="P12" s="3" t="inlineStr">
        <is>
          <t>Config + Build — terminal workflow state with its own approval path; Disbandment Plan DocType; build for the approval-completeness gate and the retention consequence.</t>
        </is>
      </c>
      <c r="Q12" s="2" t="inlineStr"/>
      <c r="R12" s="3" t="inlineStr"/>
      <c r="S12" s="3" t="inlineStr">
        <is>
          <t>E8</t>
        </is>
      </c>
      <c r="T12" s="2" t="n">
        <v>5</v>
      </c>
    </row>
    <row r="13" ht="134" customHeight="1">
      <c r="A13" s="2" t="inlineStr">
        <is>
          <t>G-12</t>
        </is>
      </c>
      <c r="B13" s="3" t="inlineStr">
        <is>
          <t>CGF</t>
        </is>
      </c>
      <c r="C13" s="2" t="inlineStr">
        <is>
          <t>Mandatory</t>
        </is>
      </c>
      <c r="D13" s="3" t="inlineStr">
        <is>
          <t>Reporting and dashboards: status, coverage, compliance, performance; drill-down; export</t>
        </is>
      </c>
      <c r="E13" s="3" t="inlineStr">
        <is>
          <t>Reporting and Dashboards</t>
        </is>
      </c>
      <c r="F13" s="3" t="inlineStr">
        <is>
          <t>The system shall provide reporting and dashboards for oversight of forums enterprise-wide: status, coverage, compliance and performance metrics; filtering, aggregation and drill-down by forum type, status, legal entity, risk coverage, ownership and review or attestation status; current and historical views including forums in formation, active forums, upcoming reviews, overdue actions and service-level performance; export of reports and artefacts for management, audit and regulatory needs.</t>
        </is>
      </c>
      <c r="G13" s="3" t="inlineStr">
        <is>
          <t>/reports: forums awaiting review, overdue, regulatory-required, disbanded; by compliance status and by type; coverage matrix of risk category by owning group, with empty cells highlighted. Every figure links to the filtered /forums. Also /governance-gaps (ai.gaps.detect: coverage, forum, policy and regulatory gaps; ai.scoring.assess); /formation-requests for forums in formation; /attestation-campaigns board for attestation status. Export CSV on /forums exports the matching rows through the permission-checked list (up to 5,000 rows, formula-safe). Gap: no service-level performance for forums or formation (no SLA Definition targets either doctype).</t>
        </is>
      </c>
      <c r="H13" s="2" t="inlineStr">
        <is>
          <t>c</t>
        </is>
      </c>
      <c r="I13" s="3" t="inlineStr">
        <is>
          <t>(c) Partly reachable</t>
        </is>
      </c>
      <c r="J13" s="3" t="inlineStr">
        <is>
          <t>FRM-2026-00007 Non-Compliant; FRM-2026-00013 Pending; FRM-2026-00011 and FRM-2026-00014 Draft; FRM-2026-00012 Disbanded; FRM-2026-00008 overdue.</t>
        </is>
      </c>
      <c r="K13" s="3" t="inlineStr">
        <is>
          <t>consilium_core.tests.test_ai_features.TestGaps.test_forum_policy_regulatory_and_coverage_gaps_are_found; consilium_core.tests.test_ai_features.TestPages (all 1); consilium_core.tests.test_portal_pages.TestAdministrator.test_every_page_renders_with_its_key_sections</t>
        </is>
      </c>
      <c r="L13" s="3" t="inlineStr">
        <is>
          <t>Pass (qualified)</t>
        </is>
      </c>
      <c r="M13" s="3" t="inlineStr">
        <is>
          <t>✅ (gap rules and page render only; no forum figure is tested)</t>
        </is>
      </c>
      <c r="N13" s="3" t="inlineStr">
        <is>
          <t>Direct test</t>
        </is>
      </c>
      <c r="O13" s="2" t="n">
        <v>6</v>
      </c>
      <c r="P13" s="3" t="inlineStr">
        <is>
          <t>Native + Build — native report builder, query reports, dashboard charts and export on Desk; custom Bootstrap dashboard screens for the daily-use views.</t>
        </is>
      </c>
      <c r="Q13" s="2" t="inlineStr"/>
      <c r="R13" s="3" t="inlineStr">
        <is>
          <t>Class (c), No direct test</t>
        </is>
      </c>
      <c r="S13" s="3" t="inlineStr">
        <is>
          <t>E10, E20</t>
        </is>
      </c>
      <c r="T13" s="2" t="n">
        <v>9</v>
      </c>
    </row>
    <row r="14" ht="108" customHeight="1">
      <c r="A14" s="2" t="inlineStr">
        <is>
          <t>G-13</t>
        </is>
      </c>
      <c r="B14" s="3" t="inlineStr">
        <is>
          <t>CGF</t>
        </is>
      </c>
      <c r="C14" s="2" t="inlineStr">
        <is>
          <t>Mandatory</t>
        </is>
      </c>
      <c r="D14" s="3" t="inlineStr">
        <is>
          <t>RBAC with delegates; groupings; nomination of delegates</t>
        </is>
      </c>
      <c r="E14" s="3" t="inlineStr">
        <is>
          <t>Role-Based Access Control</t>
        </is>
      </c>
      <c r="F14" s="3" t="inlineStr">
        <is>
          <t>The system shall provide role-based access for individuals and their delegates (Committee Secretary, Forum Owner, Reviewer, Approver, Viewer, Administrator). It shall support grouping users by role and attribute (line of business, first/second line of defence, legal, compliance, voting versus non-voting). Chairs, sponsors and secretaries shall be able to nominate delegates for administrative tasks.</t>
        </is>
      </c>
      <c r="G14" s="3" t="inlineStr">
        <is>
          <t>Roles (Committee Secretary, Forum Owner, Compliance Reviewer, Governance Viewer, Risk Governance Office, Consilium Administrator, Consilium Audit and others). Seat roles carry vote, quorum and attest flags. Authority Delegation with a validity window (delegation.resolve_actor). Seat delegates on Forum Membership. Gap: chairs and sponsors cannot nominate a delegate themselves. Only System Manager and Consilium Administrator may create Authority Delegation. Seat delegates are set on desk by the Committee Secretary or the governance office.</t>
        </is>
      </c>
      <c r="H14" s="2" t="inlineStr">
        <is>
          <t>c</t>
        </is>
      </c>
      <c r="I14" s="3" t="inlineStr">
        <is>
          <t>(c) Partly reachable</t>
        </is>
      </c>
      <c r="J14" s="3" t="inlineStr">
        <is>
          <t>23 personas. ADEL-00001…00004 (ADEL-00002 expired). FMEM-00031 on FRM-2026-00005 has a standing delegate.</t>
        </is>
      </c>
      <c r="K14" s="3" t="inlineStr">
        <is>
          <t>consilium_core.tests.test_delegation.TestDelegation (all 13); consilium_core.tests.test_entities.TestPermissions (all 5); governance.tests.test_membership.TestDelegation (all 3); governance.tests.test_voting.TestDelegatedVoting (all 3); test_w3_guides.TestARoleIsAQueue (all 5)</t>
        </is>
      </c>
      <c r="L14" s="3" t="inlineStr">
        <is>
          <t>Pass</t>
        </is>
      </c>
      <c r="M14" s="3" t="inlineStr">
        <is>
          <t>✅</t>
        </is>
      </c>
      <c r="N14" s="3" t="inlineStr">
        <is>
          <t>Direct test</t>
        </is>
      </c>
      <c r="O14" s="2" t="n">
        <v>33</v>
      </c>
      <c r="P14" s="3" t="inlineStr">
        <is>
          <t>Native + Config + Build — native role/permission engine and user groups; forum-scoped accountability roles are modelled as membership rows; build for delegation validity windows.</t>
        </is>
      </c>
      <c r="Q14" s="2" t="inlineStr">
        <is>
          <t>Δ</t>
        </is>
      </c>
      <c r="R14" s="3" t="inlineStr">
        <is>
          <t>Class (c)</t>
        </is>
      </c>
      <c r="S14" s="3" t="inlineStr">
        <is>
          <t>E2, E9</t>
        </is>
      </c>
      <c r="T14" s="2" t="n">
        <v>11</v>
      </c>
    </row>
    <row r="15" ht="147" customHeight="1">
      <c r="A15" s="2" t="inlineStr">
        <is>
          <t>G-14</t>
        </is>
      </c>
      <c r="B15" s="3" t="inlineStr">
        <is>
          <t>CGF</t>
        </is>
      </c>
      <c r="C15" s="2" t="inlineStr">
        <is>
          <t>Mandatory</t>
        </is>
      </c>
      <c r="D15" s="3" t="inlineStr">
        <is>
          <t>Configurable, templated, automated notifications (approvals, reviews, escalations, meetings, attestation, charter reviews)</t>
        </is>
      </c>
      <c r="E15" s="3" t="inlineStr">
        <is>
          <t>Notifications</t>
        </is>
      </c>
      <c r="F15" s="3" t="inlineStr">
        <is>
          <t>The system shall send configurable, templated, automated notifications for approvals, reviews, escalations, meeting schedules, annual attestation and charter reviews.</t>
        </is>
      </c>
      <c r="G15" s="3" t="inlineStr">
        <is>
          <t>Notification Template per event (49, admin-editable per channel; notification.notify). There is an e-mail adapter over SMTP or Microsoft Graph, falling back to the record channel, with retry. Every caller now raises an event; none sends hard-coded text. Governance events: formation returned, approval requested, exception raised, approved and rejected; forum review recorded, returned for review and disbanded; disbandment approval requested (governance.disbandment.approval_requested, from lifecycle.raise_disbandment); forum review overdue; attestation open and second signature missing; attestation task reminder. Missing: no notification for meeting schedules or charter reviews (no event code, template or caller).</t>
        </is>
      </c>
      <c r="H15" s="2" t="inlineStr">
        <is>
          <t>d</t>
        </is>
      </c>
      <c r="I15" s="3" t="inlineStr">
        <is>
          <t>(d) Not implemented (whole or mandatory part)</t>
        </is>
      </c>
      <c r="J15" s="3" t="inlineStr">
        <is>
          <t>201 dispatches: 178 EMAIL, 23 RECORD. For example "Formation approval requested" (8), "Compliance review recorded" (34). The 2 "Forum disbandment awaits your approval" dispatches were written by the demo load before that notice was templated. Reminder Log row for governance.forum_review.overdue on FRM-2026-00008.</t>
        </is>
      </c>
      <c r="K15" s="3" t="inlineStr">
        <is>
          <t>governance.tests.test_wave3_governance.TestTemplatedNotices (all 3); consilium_core.tests.test_notification_templates.TestSeeding (all 2), TestEventApi (all 10), TestTemplateFailures (all 5), TestEmailRetry (all 3); consilium_core.tests.test_notification.TestNotification (all 6); test_formation.TestReturnToOriginator.test_the_originator_is_notified; test_lifecycle.TestWatchedFields.test_compliance_is_notified_and_a_task_is_raised; governance.tests.test_governance_gaps.TestDisbandmentPortal.test_raising_names_g11s_approvers_and_asks_them</t>
        </is>
      </c>
      <c r="L15" s="3" t="inlineStr">
        <is>
          <t>Pass (qualified)</t>
        </is>
      </c>
      <c r="M15" s="3" t="inlineStr">
        <is>
          <t>✅ (what exists; nothing tests the missing meeting and charter notices)</t>
        </is>
      </c>
      <c r="N15" s="3" t="inlineStr">
        <is>
          <t>Direct test</t>
        </is>
      </c>
      <c r="O15" s="2" t="n">
        <v>36</v>
      </c>
      <c r="P15" s="3" t="inlineStr">
        <is>
          <t>Native + Config + Build — native notification definitions and email queue; build for the pluggable channel abstraction.</t>
        </is>
      </c>
      <c r="Q15" s="2" t="inlineStr">
        <is>
          <t>Δ</t>
        </is>
      </c>
      <c r="R15" s="3" t="inlineStr">
        <is>
          <t>Class (d), No direct test</t>
        </is>
      </c>
      <c r="S15" s="3" t="inlineStr">
        <is>
          <t>E9, E19, E29, E36</t>
        </is>
      </c>
      <c r="T15" s="2" t="n">
        <v>18</v>
      </c>
    </row>
    <row r="16" ht="82" customHeight="1">
      <c r="A16" s="2" t="inlineStr">
        <is>
          <t>G-15</t>
        </is>
      </c>
      <c r="B16" s="3" t="inlineStr">
        <is>
          <t>CGF</t>
        </is>
      </c>
      <c r="C16" s="2" t="inlineStr">
        <is>
          <t>Mandatory</t>
        </is>
      </c>
      <c r="D16" s="3" t="inlineStr">
        <is>
          <t>Attach any documents, with version control and audit log; retain all</t>
        </is>
      </c>
      <c r="E16" s="3" t="inlineStr">
        <is>
          <t>Document Management</t>
        </is>
      </c>
      <c r="F16" s="3" t="inlineStr">
        <is>
          <t>The system shall allow documents to be attached without restriction on type or count — templates, charters and mandates, agendas, meeting minutes and related material — with version control, and shall show an audit log of all activity. All documents and history shall be retained.</t>
        </is>
      </c>
      <c r="G16" s="3" t="inlineStr">
        <is>
          <t>Native attachments and activity log. On /forum Documents: start a charter (charters.start_forum_charter) and take a new charter version with a change summary (charters.publish_charter_version, only a file attached to that charter; this reopens the challenge). Minutes are versioned through the desk button "Record minutes" (meetings.record_meeting_minutes). Meeting agenda file. Deletion guarded.</t>
        </is>
      </c>
      <c r="H16" s="2" t="inlineStr">
        <is>
          <t>a</t>
        </is>
      </c>
      <c r="I16" s="3" t="inlineStr">
        <is>
          <t>(a) Portal screen</t>
        </is>
      </c>
      <c r="J16" s="3" t="inlineStr">
        <is>
          <t>14 charters, 17 charter versions (CHT-2026-00005, CHT-2026-00007 and CHT-2026-00011 have 2 each). 67 meetings, 38 with a minutes version (for example FMTG-2026-00035).</t>
        </is>
      </c>
      <c r="K16" s="3" t="inlineStr">
        <is>
          <t>governance.tests.test_governance_gaps.TestCharterPortal (all 9); governance.tests.test_charters.TestCharterVersions (all 2); governance.tests.test_regressions.TestMinutes (all 3)</t>
        </is>
      </c>
      <c r="L16" s="3" t="inlineStr">
        <is>
          <t>Pass</t>
        </is>
      </c>
      <c r="M16" s="3" t="inlineStr">
        <is>
          <t>✅</t>
        </is>
      </c>
      <c r="N16" s="3" t="inlineStr">
        <is>
          <t>Direct test</t>
        </is>
      </c>
      <c r="O16" s="2" t="n">
        <v>17</v>
      </c>
      <c r="P16" s="3" t="inlineStr">
        <is>
          <t>Native + Build — native attachment handling and activity log; build for the document version chain and its retention linkage.</t>
        </is>
      </c>
      <c r="Q16" s="2" t="inlineStr">
        <is>
          <t>Δ</t>
        </is>
      </c>
      <c r="R16" s="3" t="inlineStr"/>
      <c r="S16" s="3" t="inlineStr">
        <is>
          <t>E5, E33</t>
        </is>
      </c>
      <c r="T16" s="2" t="n">
        <v>6</v>
      </c>
    </row>
    <row r="17" ht="134" customHeight="1">
      <c r="A17" s="2" t="inlineStr">
        <is>
          <t>G-16</t>
        </is>
      </c>
      <c r="B17" s="3" t="inlineStr">
        <is>
          <t>CGF</t>
        </is>
      </c>
      <c r="C17" s="2" t="inlineStr">
        <is>
          <t>Mandatory</t>
        </is>
      </c>
      <c r="D17" s="3" t="inlineStr">
        <is>
          <t>Retention per policy; WORM for the retention period</t>
        </is>
      </c>
      <c r="E17" s="3" t="inlineStr">
        <is>
          <t>Data and Document Retention</t>
        </is>
      </c>
      <c r="F17" s="3" t="inlineStr">
        <is>
          <t>The system shall retain data and documents in accordance with the applicable retention policy and requirements, and shall hold documents and data in a write-once, read-many form for the duration of their retention period.</t>
        </is>
      </c>
      <c r="G17" s="3" t="inlineStr">
        <is>
          <t>Retention class, assignment and legal hold on desk. guard_modification and guard_deletion on every doctype. Hash-chained Archive Record. The daily retention.flag_due_for_disposal puts past-retention archives up for approved disposition (held when under legal hold) and deletes nothing. Gap: nothing in the application creates an Archive Record. execute_disposition and release_hold have no caller outside tests, so an approved disposal cannot be carried out from any screen. 0 Retention Assignments on the demo site, so no governance record is actually under retention or WORM (retention_lock reads assignments, not the forum's retention_class field).</t>
        </is>
      </c>
      <c r="H17" s="2" t="inlineStr">
        <is>
          <t>c</t>
        </is>
      </c>
      <c r="I17" s="3" t="inlineStr">
        <is>
          <t>(c) Partly reachable</t>
        </is>
      </c>
      <c r="J17" s="3" t="inlineStr">
        <is>
          <t>5 retention classes (GOV-MINUTES requires WORM). All 14 forums carry retention_class GOV-FORUM. 0 assignments, 0 archives, 0 dispositions.</t>
        </is>
      </c>
      <c r="K17" s="3" t="inlineStr">
        <is>
          <t>consilium_core.tests.test_retention.TestRetention (all 14); consilium_core.tests.test_core_controls_wave3.TestScheduledDisposalReview (all 5)</t>
        </is>
      </c>
      <c r="L17" s="3" t="inlineStr">
        <is>
          <t>Pass</t>
        </is>
      </c>
      <c r="M17" s="3" t="inlineStr">
        <is>
          <t>✅</t>
        </is>
      </c>
      <c r="N17" s="3" t="inlineStr">
        <is>
          <t>Direct test</t>
        </is>
      </c>
      <c r="O17" s="2" t="n">
        <v>21</v>
      </c>
      <c r="P17" s="3" t="inlineStr">
        <is>
          <t>Build — retention classes, retention schedule evaluation, legal holds, immutable archive records and disposition, built in platform.</t>
        </is>
      </c>
      <c r="Q17" s="2" t="inlineStr">
        <is>
          <t>Δ</t>
        </is>
      </c>
      <c r="R17" s="3" t="inlineStr">
        <is>
          <t>Class (c)</t>
        </is>
      </c>
      <c r="S17" s="3" t="inlineStr">
        <is>
          <t>E5</t>
        </is>
      </c>
      <c r="T17" s="2" t="n">
        <v>5</v>
      </c>
    </row>
    <row r="18" ht="121" customHeight="1">
      <c r="A18" s="2" t="inlineStr">
        <is>
          <t>G-17</t>
        </is>
      </c>
      <c r="B18" s="3" t="inlineStr">
        <is>
          <t>CGF</t>
        </is>
      </c>
      <c r="C18" s="2" t="inlineStr">
        <is>
          <t>Mandatory</t>
        </is>
      </c>
      <c r="D18" s="3" t="inlineStr">
        <is>
          <t>Governance intake form with minimum fields; office checks completeness</t>
        </is>
      </c>
      <c r="E18" s="3" t="inlineStr">
        <is>
          <t>Governance Intake Form</t>
        </is>
      </c>
      <c r="F18" s="3" t="inlineStr">
        <is>
          <t>The system shall allow a request to create, modify or retire a forum to be submitted, with configurable content and a configurable workflow. Intake shall capture at minimum: whether the request is to create a new committee as defined by the enterprise governance standard; the rationale; the purpose and scope; the proposed responsibilities; the delegating authority; whether delegating-authority approval has been obtained (not required at submission); the proposed timeline; and the expected date of the first meeting. The Risk Governance Office shall check completeness and appropriateness before the request proceeds.</t>
        </is>
      </c>
      <c r="G18" s="3" t="inlineStr">
        <is>
          <t>/create-forum wizard (guidance, required fields, draft save, compliance-review warning) → formation.submit_request; answer to a return via respond_to_returned_request. Completeness is confirmed on /formation-request. Originators without a governance role can open, answer and withdraw their own request.</t>
        </is>
      </c>
      <c r="H18" s="2" t="inlineStr">
        <is>
          <t>a</t>
        </is>
      </c>
      <c r="I18" s="3" t="inlineStr">
        <is>
          <t>(a) Portal screen</t>
        </is>
      </c>
      <c r="J18" s="3" t="inlineStr">
        <is>
          <t>CFR-2026-00006 Payments Innovation Forum (draft); CFR-2026-00003 returned with questions.</t>
        </is>
      </c>
      <c r="K18" s="3" t="inlineStr">
        <is>
          <t>test_formation.TestIntake (all 5); test_formation_portal.TestReturnAndRespond (all 4), TestNamedPeople (all 2); test_w3_guides.TestTheOriginatorReadsTheirOwnRequest (all 3)</t>
        </is>
      </c>
      <c r="L18" s="3" t="inlineStr">
        <is>
          <t>Pass</t>
        </is>
      </c>
      <c r="M18" s="3" t="inlineStr">
        <is>
          <t>✅</t>
        </is>
      </c>
      <c r="N18" s="3" t="inlineStr">
        <is>
          <t>Direct test</t>
        </is>
      </c>
      <c r="O18" s="2" t="n">
        <v>14</v>
      </c>
      <c r="P18" s="3" t="inlineStr">
        <is>
          <t>Config + Build — Committee Formation Request DocType and workflow; custom Create-Forum wizard screen; build for the completeness gate.</t>
        </is>
      </c>
      <c r="Q18" s="2" t="inlineStr"/>
      <c r="R18" s="3" t="inlineStr"/>
      <c r="S18" s="3" t="inlineStr">
        <is>
          <t>E7</t>
        </is>
      </c>
      <c r="T18" s="2" t="n">
        <v>6</v>
      </c>
    </row>
    <row r="19" ht="95" customHeight="1">
      <c r="A19" s="2" t="inlineStr">
        <is>
          <t>G-18</t>
        </is>
      </c>
      <c r="B19" s="3" t="inlineStr">
        <is>
          <t>CGF</t>
        </is>
      </c>
      <c r="C19" s="2" t="inlineStr">
        <is>
          <t>Mandatory</t>
        </is>
      </c>
      <c r="D19" s="3" t="inlineStr">
        <is>
          <t>Standardised intake fields (committee-centric)</t>
        </is>
      </c>
      <c r="E19" s="3" t="inlineStr">
        <is>
          <t>Intake Form Fields</t>
        </is>
      </c>
      <c r="F19" s="3" t="inlineStr">
        <is>
          <t>The system shall define and enforce a standardized, configurable set of intake fields, validated for completeness and aligned to the platform taxonomies, covering identifying, ownership and organisational information: forum name, forum identifier, requester, forum type, jurisdiction, parent forum, child forum(s), owning organisation (operating group), owning organisation (line of business), owning organisation (business unit), and forum sponsor.</t>
        </is>
      </c>
      <c r="G19" s="3" t="inlineStr">
        <is>
          <t>Mandatory and validated fields on Committee Formation Request: name, proposed id, requester, type, jurisdiction, parent, child forums, operating group, line of business, business units, sponsor. The fields G-17 adds are also present: new-committee flag, rationale, purpose and scope, responsibilities, delegating authority and its approval, timeline, first meeting.</t>
        </is>
      </c>
      <c r="H19" s="2" t="inlineStr">
        <is>
          <t>a</t>
        </is>
      </c>
      <c r="I19" s="3" t="inlineStr">
        <is>
          <t>(a) Portal screen</t>
        </is>
      </c>
      <c r="J19" s="3" t="inlineStr">
        <is>
          <t>Any submitted request, for example CFR-2026-00002 Operational Resilience Steering Committee.</t>
        </is>
      </c>
      <c r="K19" s="3" t="inlineStr">
        <is>
          <t>test_formation.TestIntake.test_required_fields_are_enforced_before_submission, …test_a_modify_request_must_name_its_subject, …test_one_intake_covers_create_modify_and_retire</t>
        </is>
      </c>
      <c r="L19" s="3" t="inlineStr">
        <is>
          <t>Pass</t>
        </is>
      </c>
      <c r="M19" s="3" t="inlineStr">
        <is>
          <t>✅</t>
        </is>
      </c>
      <c r="N19" s="3" t="inlineStr">
        <is>
          <t>Direct test</t>
        </is>
      </c>
      <c r="O19" s="2" t="n">
        <v>3</v>
      </c>
      <c r="P19" s="3" t="inlineStr">
        <is>
          <t>Config — mandatory-field and validation metadata on the intake DocType.</t>
        </is>
      </c>
      <c r="Q19" s="2" t="inlineStr">
        <is>
          <t>Δ</t>
        </is>
      </c>
      <c r="R19" s="3" t="inlineStr"/>
      <c r="S19" s="3" t="inlineStr">
        <is>
          <t>E7</t>
        </is>
      </c>
      <c r="T19" s="2" t="n">
        <v>6</v>
      </c>
    </row>
    <row r="20" ht="121" customHeight="1">
      <c r="A20" s="2" t="inlineStr">
        <is>
          <t>G-19</t>
        </is>
      </c>
      <c r="B20" s="3" t="inlineStr">
        <is>
          <t>CGF</t>
        </is>
      </c>
      <c r="C20" s="2" t="inlineStr">
        <is>
          <t>Mandatory</t>
        </is>
      </c>
      <c r="D20" s="3" t="inlineStr">
        <is>
          <t>Forum data reused (documents, escalations, risk appetite); inbound governed; mapped, validated, traceable</t>
        </is>
      </c>
      <c r="E20" s="3" t="inlineStr">
        <is>
          <t>Integration Capabilities</t>
        </is>
      </c>
      <c r="F20" s="3" t="inlineStr">
        <is>
          <t>The system shall make forum data available for consistent reuse wherever governance context is required — approving forums for governing documents, escalation pathways, risk appetite and risk identification — and shall consume governance-relevant data from elsewhere. Data exchange shall be field-mapped, validated, and subject to defined handling rules for invalid, missing or incomplete data, and shall be traceable for audit.</t>
        </is>
      </c>
      <c r="G20" s="3" t="inlineStr">
        <is>
          <t>Reuse inside the database: Governing Document.approving_forum (listed on /forum) and Escalation Forum Link (Escalations tab on /forum). /imports (CS-11) uploads, maps, validates, reviews rows, commits or discards (importing.upload_batch, revalidate_batch, exclude_row, commit_reviewed_batch, discard_batch). Gap: the outbound export file (importing.export_records) has no caller, so no forum data file can be produced for the risk appetite or risk register. No import profile targets governance data (profiles exist for Escalation Matter and Regulatory Requirement only). External Reference rows are entered on desk.</t>
        </is>
      </c>
      <c r="H20" s="2" t="inlineStr">
        <is>
          <t>c</t>
        </is>
      </c>
      <c r="I20" s="3" t="inlineStr">
        <is>
          <t>(c) Partly reachable</t>
        </is>
      </c>
      <c r="J20" s="3" t="inlineStr">
        <is>
          <t>EXTR-00001…00004 on FRM-2026-00005 and FRM-2026-00006. IMPB-00001 (escalation import, Validated). 0 export batches. FRM-2026-00006 approves 5 governing documents.</t>
        </is>
      </c>
      <c r="K20" s="3" t="inlineStr">
        <is>
          <t>consilium_core.tests.test_import_pipeline.TestImportPipeline (all 9); consilium_core.tests.test_imports_portal.TestUpload (all 5), TestReview (all 7), TestDiscard (all 1), TestMethods (all 1); escalation.tests.test_import_export.TestImportPath (all 4)</t>
        </is>
      </c>
      <c r="L20" s="3" t="inlineStr">
        <is>
          <t>Pass</t>
        </is>
      </c>
      <c r="M20" s="3" t="inlineStr">
        <is>
          <t>✅</t>
        </is>
      </c>
      <c r="N20" s="3" t="inlineStr">
        <is>
          <t>Direct test</t>
        </is>
      </c>
      <c r="O20" s="2" t="n">
        <v>30</v>
      </c>
      <c r="P20" s="3" t="inlineStr">
        <is>
          <t>Config + Build — reuse by Policy and Escalation is an in-database relationship; reuse by the risk appetite system and the risk register is an export file; inbound is the manual import path.</t>
        </is>
      </c>
      <c r="Q20" s="2" t="inlineStr">
        <is>
          <t>Δ</t>
        </is>
      </c>
      <c r="R20" s="3" t="inlineStr">
        <is>
          <t>Class (c)</t>
        </is>
      </c>
      <c r="S20" s="3" t="inlineStr">
        <is>
          <t>E6, E21, E28</t>
        </is>
      </c>
      <c r="T20" s="2" t="n">
        <v>13</v>
      </c>
    </row>
  </sheetData>
  <conditionalFormatting sqref="H2:H20">
    <cfRule type="expression" priority="1" dxfId="0" stopIfTrue="1">
      <formula>H2="a"</formula>
    </cfRule>
    <cfRule type="expression" priority="2" dxfId="1" stopIfTrue="1">
      <formula>H2="b"</formula>
    </cfRule>
    <cfRule type="expression" priority="3" dxfId="2" stopIfTrue="1">
      <formula>H2="c"</formula>
    </cfRule>
    <cfRule type="expression" priority="4" dxfId="3" stopIfTrue="1">
      <formula>H2="d"</formula>
    </cfRule>
  </conditionalFormatting>
  <conditionalFormatting sqref="L2:L20">
    <cfRule type="expression" priority="5" dxfId="0" stopIfTrue="1">
      <formula>L2="Pass"</formula>
    </cfRule>
    <cfRule type="expression" priority="6" dxfId="4" stopIfTrue="1">
      <formula>L2="Pass (qualified)"</formula>
    </cfRule>
    <cfRule type="expression" priority="7" dxfId="2" stopIfTrue="1">
      <formula>L2="No direct test"</formula>
    </cfRule>
    <cfRule type="expression" priority="8" dxfId="3" stopIfTrue="1">
      <formula>L2="Fail"</formula>
    </cfRule>
  </conditionalFormatting>
  <conditionalFormatting sqref="N2:N20">
    <cfRule type="expression" priority="9" dxfId="2" stopIfTrue="1">
      <formula>N2="No direct test"</formula>
    </cfRule>
    <cfRule type="expression" priority="10" dxfId="3" stopIfTrue="1">
      <formula>N2="Failing test"</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T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26" customWidth="1" min="4" max="4"/>
    <col width="22" customWidth="1" min="5" max="5"/>
    <col width="60" customWidth="1" min="6" max="6"/>
    <col width="60" customWidth="1" min="7" max="7"/>
    <col width="13" customWidth="1" min="8" max="8"/>
    <col width="20" customWidth="1" min="9" max="9"/>
    <col width="42" customWidth="1" min="10" max="10"/>
    <col width="52" customWidth="1" min="11" max="11"/>
    <col width="16" customWidth="1" min="12" max="12"/>
    <col width="18" customWidth="1" min="13" max="13"/>
    <col width="14" customWidth="1" min="14" max="14"/>
    <col width="13" customWidth="1" min="15" max="15"/>
    <col width="34" customWidth="1" min="16" max="16"/>
    <col width="13" customWidth="1" min="17" max="17"/>
    <col width="20" customWidth="1" min="18" max="18"/>
    <col width="16" customWidth="1" min="19" max="19"/>
    <col width="13" customWidth="1" min="20" max="20"/>
  </cols>
  <sheetData>
    <row r="1" ht="43" customHeight="1">
      <c r="A1" s="1" t="inlineStr">
        <is>
          <t>ID</t>
        </is>
      </c>
      <c r="B1" s="1" t="inlineStr">
        <is>
          <t>Module</t>
        </is>
      </c>
      <c r="C1" s="1" t="inlineStr">
        <is>
          <t>Priority</t>
        </is>
      </c>
      <c r="D1" s="1" t="inlineStr">
        <is>
          <t>Short title</t>
        </is>
      </c>
      <c r="E1" s="1" t="inlineStr">
        <is>
          <t>Baseline title</t>
        </is>
      </c>
      <c r="F1" s="1" t="inlineStr">
        <is>
          <t>Requirement (baseline statement)</t>
        </is>
      </c>
      <c r="G1" s="1" t="inlineStr">
        <is>
          <t>What satisfies it</t>
        </is>
      </c>
      <c r="H1" s="1" t="inlineStr">
        <is>
          <t>Class</t>
        </is>
      </c>
      <c r="I1" s="1" t="inlineStr">
        <is>
          <t>Class meaning</t>
        </is>
      </c>
      <c r="J1" s="1" t="inlineStr">
        <is>
          <t>Demo data / workflow</t>
        </is>
      </c>
      <c r="K1" s="1" t="inlineStr">
        <is>
          <t>Test(s)</t>
        </is>
      </c>
      <c r="L1" s="1" t="inlineStr">
        <is>
          <t>Result</t>
        </is>
      </c>
      <c r="M1" s="1" t="inlineStr">
        <is>
          <t>Result as measured</t>
        </is>
      </c>
      <c r="N1" s="1" t="inlineStr">
        <is>
          <t>Test evidence</t>
        </is>
      </c>
      <c r="O1" s="1" t="inlineStr">
        <is>
          <t>Cited test methods (est.)</t>
        </is>
      </c>
      <c r="P1" s="1" t="inlineStr">
        <is>
          <t>Planned satisfaction (baseline)</t>
        </is>
      </c>
      <c r="Q1" s="1" t="inlineStr">
        <is>
          <t>Δ decision</t>
        </is>
      </c>
      <c r="R1" s="1" t="inlineStr">
        <is>
          <t>Gap sections citing it</t>
        </is>
      </c>
      <c r="S1" s="1" t="inlineStr">
        <is>
          <t>Epics tracing it</t>
        </is>
      </c>
      <c r="T1" s="1" t="inlineStr">
        <is>
          <t>Stories tracing it</t>
        </is>
      </c>
    </row>
    <row r="2" ht="121" customHeight="1">
      <c r="A2" s="2" t="inlineStr">
        <is>
          <t>P-1</t>
        </is>
      </c>
      <c r="B2" s="3" t="inlineStr">
        <is>
          <t>POL</t>
        </is>
      </c>
      <c r="C2" s="2" t="inlineStr">
        <is>
          <t>Mandatory</t>
        </is>
      </c>
      <c r="D2" s="3" t="inlineStr">
        <is>
          <t>Central repository with RBAC; restricted handling limits view, download, print, share</t>
        </is>
      </c>
      <c r="E2" s="3" t="inlineStr">
        <is>
          <t>Policy Repository</t>
        </is>
      </c>
      <c r="F2" s="3" t="inlineStr">
        <is>
          <t>The system shall provide a centralized, searchable repository of all governing documents and their metadata, covering at minimum Frameworks, Policies, Standards, Procedures and Supporting Documents. Access, visibility and permitted actions shall be governed by role-based access control. The system shall identify confidential or restricted documents and apply enhanced handling so that view, download, print and share are limited to authorized roles.</t>
        </is>
      </c>
      <c r="G2" s="3" t="inlineStr">
        <is>
          <t>Governing Document (5 types; Directive is deliberately not modelled); /policies, /policy and /document-view. policy/handling.py is registered in hooks.py as has_permission and permission_query_conditions on Governing Document and Document Version, plus File.before_insert (guard_file_privacy). Read is narrowed for Confidential and Restricted documents. Print, download and share are refused per flag and rendition on the print view, file fetch, share and e-mail. Loosening the handling is refused to anyone but the policy office, and the refusal is logged.</t>
        </is>
      </c>
      <c r="H2" s="2" t="inlineStr">
        <is>
          <t>a</t>
        </is>
      </c>
      <c r="I2" s="3" t="inlineStr">
        <is>
          <t>(a) Portal screen</t>
        </is>
      </c>
      <c r="J2" s="3" t="inlineStr">
        <is>
          <t>GDOC-00010 Anti-Money Laundering Policy: Confidential, with the three flags off; PPUB-00008 Targeted Groups, view-only. GDOC-00015 Artificial Intelligence Use Standard: Restricted.</t>
        </is>
      </c>
      <c r="K2" s="3" t="inlineStr">
        <is>
          <t>policy.tests.test_handling.TestVisibility (all 8), TestActions (all 7), TestHandlingChanges (all 6), TestVersionBody (all 4), TestVersionHooks (all 2), TestViewerPage (all 5); policy.tests.test_repository.TestGoverningDocument.test_confidential_closes_the_three_actions_by_default</t>
        </is>
      </c>
      <c r="L2" s="3" t="inlineStr">
        <is>
          <t>Pass</t>
        </is>
      </c>
      <c r="M2" s="3" t="inlineStr">
        <is>
          <t>✅</t>
        </is>
      </c>
      <c r="N2" s="3" t="inlineStr">
        <is>
          <t>Direct test</t>
        </is>
      </c>
      <c r="O2" s="2" t="n">
        <v>35</v>
      </c>
      <c r="P2" s="3" t="inlineStr">
        <is>
          <t>Config + Build — Governing Document DocType and permission rules; build for the restricted-handling controls (download/print/share gating), which are not native.</t>
        </is>
      </c>
      <c r="Q2" s="2" t="inlineStr">
        <is>
          <t>Δ</t>
        </is>
      </c>
      <c r="R2" s="3" t="inlineStr"/>
      <c r="S2" s="3" t="inlineStr">
        <is>
          <t>E11, E30</t>
        </is>
      </c>
      <c r="T2" s="2" t="n">
        <v>7</v>
      </c>
    </row>
    <row r="3" ht="95" customHeight="1">
      <c r="A3" s="2" t="inlineStr">
        <is>
          <t>P-2</t>
        </is>
      </c>
      <c r="B3" s="3" t="inlineStr">
        <is>
          <t>POL</t>
        </is>
      </c>
      <c r="C3" s="2" t="inlineStr">
        <is>
          <t>Mandatory</t>
        </is>
      </c>
      <c r="D3" s="3" t="inlineStr">
        <is>
          <t>Advanced search and filter</t>
        </is>
      </c>
      <c r="E3" s="3" t="inlineStr">
        <is>
          <t>Search and Retrieval</t>
        </is>
      </c>
      <c r="F3" s="3" t="inlineStr">
        <is>
          <t>The system shall provide advanced search and filtering of governing documents by metadata.</t>
        </is>
      </c>
      <c r="G3" s="3" t="inlineStr">
        <is>
          <t>/policies: filters for type, phase, group, risk category, handling, owner and standing, all kept in the URL. Full-text search over title, reference, abstract, body and the current version's text goes through repository.search, which honours permissions and handling. Owner options come from repository.owners. The header's global search finds a document by reference or title from any page, through the same permission and handling rules.</t>
        </is>
      </c>
      <c r="H3" s="2" t="inlineStr">
        <is>
          <t>a</t>
        </is>
      </c>
      <c r="I3" s="3" t="inlineStr">
        <is>
          <t>(a) Portal screen</t>
        </is>
      </c>
      <c r="J3" s="3" t="inlineStr">
        <is>
          <t>/policies?standing=overdue lists GDOC-00003, GDOC-00009 and GDOC-00014, all in force and past next_review_on.</t>
        </is>
      </c>
      <c r="K3" s="3" t="inlineStr">
        <is>
          <t>policy.tests.test_wave3.TestSearch (all 4); test_repository.TestGoverningDocument.test_search_filters_and_matches_title_and_content, …test_search_respects_permissions; consilium_core.tests.test_global_search.TestGlobalSearch (all 9)</t>
        </is>
      </c>
      <c r="L3" s="3" t="inlineStr">
        <is>
          <t>Pass</t>
        </is>
      </c>
      <c r="M3" s="3" t="inlineStr">
        <is>
          <t>✅</t>
        </is>
      </c>
      <c r="N3" s="3" t="inlineStr">
        <is>
          <t>Direct test</t>
        </is>
      </c>
      <c r="O3" s="2" t="n">
        <v>17</v>
      </c>
      <c r="P3" s="3" t="inlineStr">
        <is>
          <t>Config + Build — as G-2.</t>
        </is>
      </c>
      <c r="Q3" s="2" t="inlineStr">
        <is>
          <t>Δ</t>
        </is>
      </c>
      <c r="R3" s="3" t="inlineStr"/>
      <c r="S3" s="3" t="inlineStr">
        <is>
          <t>E11, E35</t>
        </is>
      </c>
      <c r="T3" s="2" t="n">
        <v>10</v>
      </c>
    </row>
    <row r="4" ht="160" customHeight="1">
      <c r="A4" s="2" t="inlineStr">
        <is>
          <t>P-3</t>
        </is>
      </c>
      <c r="B4" s="3" t="inlineStr">
        <is>
          <t>POL</t>
        </is>
      </c>
      <c r="C4" s="2" t="inlineStr">
        <is>
          <t>Mandatory</t>
        </is>
      </c>
      <c r="D4" s="3" t="inlineStr">
        <is>
          <t>Metadata tagging (named attributes, accountability roles)</t>
        </is>
      </c>
      <c r="E4" s="3" t="inlineStr">
        <is>
          <t>Policy Tagging</t>
        </is>
      </c>
      <c r="F4" s="3" t="inlineStr">
        <is>
          <t>The system shall support metadata-driven tagging using controlled fields, field dependencies and standardized taxonomies. Metadata shall include at minimum: document identifiers (name, identifier, type); ownership and accountability roles; organisational alignment; risk classification and applicability; lifecycle status and relationships. Named attributes include document name, document identifier, key contact, document type, jurisdiction, parent document, child document(s), primary risk category, legal entity, owning organisation (operating group), owning organisation (line of business), direct document link, training-required flag, attachments, document approver, document liaison, document owner, document delegate (optional), document sponsor, line of defence, material-entity flag and lifecycle phase.</t>
        </is>
      </c>
      <c r="G4" s="3" t="inlineStr">
        <is>
          <t>Every named field and child table, including the accountability-roles table. Shown on /policy, captured on the desk (DK-1), and correctable one field at a time on /policy (metadata.correct_metadata, with a reason). Retired taxonomy values are not offered (standard_queries).</t>
        </is>
      </c>
      <c r="H4" s="2" t="inlineStr">
        <is>
          <t>a</t>
        </is>
      </c>
      <c r="I4" s="3" t="inlineStr">
        <is>
          <t>(a) Portal screen</t>
        </is>
      </c>
      <c r="J4" s="3" t="inlineStr">
        <is>
          <t>GDOC-00005 Outsourcing and Third-Party Risk Policy: regulatory-required, parent GDOC-00003, approving forum FRM-2026-00006.</t>
        </is>
      </c>
      <c r="K4" s="3" t="inlineStr">
        <is>
          <t>test_repository.TestGoverningDocument.test_creates_with_required_metadata, …test_refuses_creation_without_required_metadata, …test_material_entity_flag_requires_an_entity; policy.tests.test_entities.TestAccountabilityAndReferences (all 3); policy.tests.test_wave3.TestMetadataCorrection (all 3)</t>
        </is>
      </c>
      <c r="L4" s="3" t="inlineStr">
        <is>
          <t>Pass</t>
        </is>
      </c>
      <c r="M4" s="3" t="inlineStr">
        <is>
          <t>✅</t>
        </is>
      </c>
      <c r="N4" s="3" t="inlineStr">
        <is>
          <t>Direct test</t>
        </is>
      </c>
      <c r="O4" s="2" t="n">
        <v>11</v>
      </c>
      <c r="P4" s="3" t="inlineStr">
        <is>
          <t>Config — Link and child-table fields against Core taxonomies; accountability roles as a child table.</t>
        </is>
      </c>
      <c r="Q4" s="2" t="inlineStr">
        <is>
          <t>Δ</t>
        </is>
      </c>
      <c r="R4" s="3" t="inlineStr"/>
      <c r="S4" s="3" t="inlineStr">
        <is>
          <t>E3, E11</t>
        </is>
      </c>
      <c r="T4" s="2" t="n">
        <v>10</v>
      </c>
    </row>
    <row r="5" ht="69" customHeight="1">
      <c r="A5" s="2" t="inlineStr">
        <is>
          <t>P-4</t>
        </is>
      </c>
      <c r="B5" s="3" t="inlineStr">
        <is>
          <t>POL</t>
        </is>
      </c>
      <c r="C5" s="2" t="inlineStr">
        <is>
          <t>Mandatory</t>
        </is>
      </c>
      <c r="D5" s="3" t="inlineStr">
        <is>
          <t>Parent, child and addendum lineage; family dashboard</t>
        </is>
      </c>
      <c r="E5" s="3" t="inlineStr">
        <is>
          <t>Document Mapping and Parent-Child Lineage</t>
        </is>
      </c>
      <c r="F5" s="3" t="inlineStr">
        <is>
          <t>The system shall allow governing documents to be mapped to related governing documents — parent, child and addendum — and shall present document families in a dashboard view.</t>
        </is>
      </c>
      <c r="G5" s="3" t="inlineStr">
        <is>
          <t>Document Relationship plus parent_document, with cycles prevented. lineage.lineage_of is drawn on /policy, and a restricted child is not named to a reader who cannot see it. The "Document families" section on /reports (reporting.families) is permission-filtered and exports to CSV.</t>
        </is>
      </c>
      <c r="H5" s="2" t="inlineStr">
        <is>
          <t>a</t>
        </is>
      </c>
      <c r="I5" s="3" t="inlineStr">
        <is>
          <t>(a) Portal screen</t>
        </is>
      </c>
      <c r="J5" s="3" t="inlineStr">
        <is>
          <t>GDOC-00001 ERM Framework → GDOC-00002, 00003, 00006. GDOC-00003 → 00005, 00007, 00012. GDOC-00008 → 00011. GDOC-00013 (retired) → 00014.</t>
        </is>
      </c>
      <c r="K5" s="3" t="inlineStr">
        <is>
          <t>test_repository.TestLineage (all 4); policy.tests.test_wave3.TestLineageVisibility (all 1), TestReporting (all 3)</t>
        </is>
      </c>
      <c r="L5" s="3" t="inlineStr">
        <is>
          <t>Pass</t>
        </is>
      </c>
      <c r="M5" s="3" t="inlineStr">
        <is>
          <t>✅</t>
        </is>
      </c>
      <c r="N5" s="3" t="inlineStr">
        <is>
          <t>Direct test</t>
        </is>
      </c>
      <c r="O5" s="2" t="n">
        <v>9</v>
      </c>
      <c r="P5" s="3" t="inlineStr">
        <is>
          <t>Config + Build — Document Relationship child table; build for the family/lineage visualisation.</t>
        </is>
      </c>
      <c r="Q5" s="2" t="inlineStr"/>
      <c r="R5" s="3" t="inlineStr"/>
      <c r="S5" s="3" t="inlineStr">
        <is>
          <t>E11, E33</t>
        </is>
      </c>
      <c r="T5" s="2" t="n">
        <v>6</v>
      </c>
    </row>
    <row r="6" ht="108" customHeight="1">
      <c r="A6" s="2" t="inlineStr">
        <is>
          <t>P-5</t>
        </is>
      </c>
      <c r="B6" s="3" t="inlineStr">
        <is>
          <t>POL</t>
        </is>
      </c>
      <c r="C6" s="2" t="inlineStr">
        <is>
          <t>Mandatory</t>
        </is>
      </c>
      <c r="D6" s="3" t="inlineStr">
        <is>
          <t>Links to risk-programme objects (forums, risks, controls, training, issues)</t>
        </is>
      </c>
      <c r="E6" s="3" t="inlineStr">
        <is>
          <t>Mapping to Risk Programmes</t>
        </is>
      </c>
      <c r="F6" s="3" t="inlineStr">
        <is>
          <t>The system shall allow governing documents to be linked to other risk programme objects: risk assessments; processes, risks and controls; training; a regulatory-requirement indicator; and related issues.</t>
        </is>
      </c>
      <c r="G6" s="3" t="inlineStr">
        <is>
          <t>In the database: approving_forum, shown on /policy and resolved from /forum; the regulatory-required indicator and references; the training-required flag; the violation → escalation link. The Impact panel on /policy (ai/impact.py) walks the forums, regulation, monitoring and violations. Gap: foreign risks, controls, processes and training items are External Reference rows (or Implementation Plan impacted processes and controls) entered on the desk only. /policy does not show them, and no import profile brings them in for documents.</t>
        </is>
      </c>
      <c r="H6" s="2" t="inlineStr">
        <is>
          <t>c</t>
        </is>
      </c>
      <c r="I6" s="3" t="inlineStr">
        <is>
          <t>(c) Partly reachable</t>
        </is>
      </c>
      <c r="J6" s="3" t="inlineStr">
        <is>
          <t>GDOC-00003 approved by FRM-2026-00006. The 6 External Reference rows on the site are all on forums and escalations; none is on a governing document.</t>
        </is>
      </c>
      <c r="K6" s="3" t="inlineStr">
        <is>
          <t>consilium_core.tests.test_ai_features.TestImpact.test_the_rule_based_impact_reaches_lineage_regulation_forums_monitoring_and_violations; policy.tests.test_entities.TestImplementationPlan.test_working_groups_and_references_are_multi_valued</t>
        </is>
      </c>
      <c r="L6" s="3" t="inlineStr">
        <is>
          <t>Pass (qualified)</t>
        </is>
      </c>
      <c r="M6" s="3" t="inlineStr">
        <is>
          <t>✅ (in-database links; nothing tests external references on a document's page)</t>
        </is>
      </c>
      <c r="N6" s="3" t="inlineStr">
        <is>
          <t>Direct test</t>
        </is>
      </c>
      <c r="O6" s="2" t="n">
        <v>4</v>
      </c>
      <c r="P6" s="3" t="inlineStr">
        <is>
          <t>Config + Build — in-platform links where the counterpart is a Consilium record (governance forums, escalations); external references held as imported reference records, not live links.</t>
        </is>
      </c>
      <c r="Q6" s="2" t="inlineStr">
        <is>
          <t>Δ</t>
        </is>
      </c>
      <c r="R6" s="3" t="inlineStr">
        <is>
          <t>Class (c), No direct test</t>
        </is>
      </c>
      <c r="S6" s="3" t="inlineStr">
        <is>
          <t>E12</t>
        </is>
      </c>
      <c r="T6" s="2" t="n">
        <v>6</v>
      </c>
    </row>
    <row r="7" ht="95" customHeight="1">
      <c r="A7" s="2" t="inlineStr">
        <is>
          <t>P-6</t>
        </is>
      </c>
      <c r="B7" s="3" t="inlineStr">
        <is>
          <t>POL</t>
        </is>
      </c>
      <c r="C7" s="2" t="inlineStr">
        <is>
          <t>Mandatory</t>
        </is>
      </c>
      <c r="D7" s="3" t="inlineStr">
        <is>
          <t>Regulatory-required with dependent capture; keep references current; notify owners on regulatory change</t>
        </is>
      </c>
      <c r="E7" s="3" t="inlineStr">
        <is>
          <t>Regulatory Linkage</t>
        </is>
      </c>
      <c r="F7" s="3" t="inlineStr">
        <is>
          <t>The system shall allow a governing document to be designated regulatory-required, and when so designated shall require capture of the relevant regulatory detail through dependent fields. It shall maintain linkage from documents to the applicable laws, rules, regulations or standards, keep references and effective dates current, and notify impacted document owners when a tracked regulatory change occurs.</t>
        </is>
      </c>
      <c r="G7" s="3" t="inlineStr">
        <is>
          <t>The flag plus Document Regulatory Reference, shown on /policy. A regulatory-change file is imported on /imports through the seeded profile IMPP-00001 (policy/regulatory_import.py, whose prepare_changes makes a blank cell mean "unchanged"). A change can also be recorded on /regulatory-updates. Either way the Regulatory Requirement controller (notify_citing_owners) tells the owners of citing documents and forums through the templated event regulatory.requirement.changed.</t>
        </is>
      </c>
      <c r="H7" s="2" t="inlineStr">
        <is>
          <t>a</t>
        </is>
      </c>
      <c r="I7" s="3" t="inlineStr">
        <is>
          <t>(a) Portal screen</t>
        </is>
      </c>
      <c r="J7" s="3" t="inlineStr">
        <is>
          <t>12 requirements. The dispatch "Regulatory change: Operational Resilience Guideline…" went by e-mail to the owner of GDOC-00007. IMPP-00001 is seeded, but no regulatory batch has been run on the demo.</t>
        </is>
      </c>
      <c r="K7" s="3" t="inlineStr">
        <is>
          <t>consilium_core.tests.test_regulatory_change.TestRegulatoryChangeFanOut (all 6); policy.tests.test_wave3.TestRegulatoryChangeImport (all 2); consilium_core.tests.test_ai_features.TestRegulatory (all 8); test_repository.TestGoverningDocument.test_regulatory_flag_requires_a_reference</t>
        </is>
      </c>
      <c r="L7" s="3" t="inlineStr">
        <is>
          <t>Pass</t>
        </is>
      </c>
      <c r="M7" s="3" t="inlineStr">
        <is>
          <t>✅</t>
        </is>
      </c>
      <c r="N7" s="3" t="inlineStr">
        <is>
          <t>Direct test</t>
        </is>
      </c>
      <c r="O7" s="2" t="n">
        <v>20</v>
      </c>
      <c r="P7" s="3" t="inlineStr">
        <is>
          <t>Config + Build — dependent Regulatory Reference child table; regulatory-change intake is an imported file, and the impact-notification fan-out is a build.</t>
        </is>
      </c>
      <c r="Q7" s="2" t="inlineStr">
        <is>
          <t>Δ</t>
        </is>
      </c>
      <c r="R7" s="3" t="inlineStr"/>
      <c r="S7" s="3" t="inlineStr">
        <is>
          <t>E12, E29</t>
        </is>
      </c>
      <c r="T7" s="2" t="n">
        <v>9</v>
      </c>
    </row>
    <row r="8" ht="134" customHeight="1">
      <c r="A8" s="2" t="inlineStr">
        <is>
          <t>P-7</t>
        </is>
      </c>
      <c r="B8" s="3" t="inlineStr">
        <is>
          <t>POL</t>
        </is>
      </c>
      <c r="C8" s="2" t="inlineStr">
        <is>
          <t>Mandatory</t>
        </is>
      </c>
      <c r="D8" s="3" t="inlineStr">
        <is>
          <t>Configurable lifecycle workflows by type and change; SLA per step; approaching or breached alerts</t>
        </is>
      </c>
      <c r="E8" s="3" t="inlineStr">
        <is>
          <t>Configurable Automated Workflow</t>
        </is>
      </c>
      <c r="F8" s="3" t="inlineStr">
        <is>
          <t>The system shall support administratively configurable automated workflows for every stage of the document lifecycle, varying by document type and type of change, with conditional routing, tracking and reporting of service levels for all lifecycle steps, and alerts for approaching or breached thresholds. Configuration shall require no custom development.</t>
        </is>
      </c>
      <c r="G8" s="3" t="inlineStr">
        <is>
          <t>The framework Workflow Governing Document Lifecycle and Document Lifecycle Gate rows are configured on the desk (DK-4). Conditional routing by type, change and risk comes from Approval Route. A new workflow state needs no schema change (derive_phase_from_state and the Workflow State Flag phase column, opt-in per site). Status-driven SLA clocks per lifecycle step (sla.on_subject_update) and the daily and hourly sla.sweep send the warning (warning_threshold_pct) and the breach through templates. Actions are taken on /policy. Note: step SLAs are seeded for Review and Approved only; other phases need an SLA Definition row.</t>
        </is>
      </c>
      <c r="H8" s="2" t="inlineStr">
        <is>
          <t>a</t>
        </is>
      </c>
      <c r="I8" s="3" t="inlineStr">
        <is>
          <t>(a) Portal screen</t>
        </is>
      </c>
      <c r="J8" s="3" t="inlineStr">
        <is>
          <t>POL-STEP-REVIEW is running on GDOC-00005, 00011 and 00015; POL-STEP-APPROVED on GDOC-00006. The intake clocks POL-INTAKE-MAJOR and MINOR are Met on PINT-00001…03 and Running on PINT-00004 and 00008.</t>
        </is>
      </c>
      <c r="K8" s="3" t="inlineStr">
        <is>
          <t>policy.tests.test_lifecycle.TestLifecycleConfiguration (all 5), TestApprovalRouting (all 7); policy.tests.test_w3_state_phase.TestDerivedPhase (all 7); consilium_core.tests.test_sla_measures.TestGoverningDocumentSteps (all 1), TestWarningsAndBreaches (all 7); policy.tests.test_intake.TestClassificationDrivesRoutingAndService (all 5)</t>
        </is>
      </c>
      <c r="L8" s="3" t="inlineStr">
        <is>
          <t>Pass</t>
        </is>
      </c>
      <c r="M8" s="3" t="inlineStr">
        <is>
          <t>✅</t>
        </is>
      </c>
      <c r="N8" s="3" t="inlineStr">
        <is>
          <t>Direct test</t>
        </is>
      </c>
      <c r="O8" s="2" t="n">
        <v>36</v>
      </c>
      <c r="P8" s="3" t="inlineStr">
        <is>
          <t>Native + Config + Build — native workflow engine; build for the service-level definition, clock and breach alerting.</t>
        </is>
      </c>
      <c r="Q8" s="2" t="inlineStr"/>
      <c r="R8" s="3" t="inlineStr"/>
      <c r="S8" s="3" t="inlineStr">
        <is>
          <t>E12, E29</t>
        </is>
      </c>
      <c r="T8" s="2" t="n">
        <v>9</v>
      </c>
    </row>
    <row r="9" ht="212" customHeight="1">
      <c r="A9" s="2" t="inlineStr">
        <is>
          <t>P-8</t>
        </is>
      </c>
      <c r="B9" s="3" t="inlineStr">
        <is>
          <t>POL</t>
        </is>
      </c>
      <c r="C9" s="2" t="inlineStr">
        <is>
          <t>Mandatory</t>
        </is>
      </c>
      <c r="D9" s="3" t="inlineStr">
        <is>
          <t>Multi-step approval: parent-owner approval, reminders, exceptions and exemptions, group routing, annual attestation, horizon-scan scheduling</t>
        </is>
      </c>
      <c r="E9" s="3" t="inlineStr">
        <is>
          <t>Configurable Review and Approval Workflow</t>
        </is>
      </c>
      <c r="F9" s="3" t="inlineStr">
        <is>
          <t>The system shall support a multi-step approval process across stakeholders and roles, sequential or parallel, including: approval by parent-document owners of changes to child documents where required; automated routing, reminders and escalations; real-time approval tracking with timestamps, comments and sign-offs; forms and workflows for exception requests and exemptions; routing of approvals and notifications to user groups; role-based assignment of approval steps; conditional approval paths by document type, change type or risk level; a full audit trail of approval actions; routing of annual attestation notices and deadline reminders; and horizon-scanning notifications — notifying owners when scans are due, tracking completion of manual scans, and triggering downstream workflow after a scan.</t>
        </is>
      </c>
      <c r="G9" s="3" t="inlineStr">
        <is>
          <t>These parts are built: route resolution with a parent-owner step (routing.resolved_steps); steps raised, decided (assignee or live delegate) and bypassed only under an exception authorisation, all from /policy; sequential order enforced; steps in /tasks. Gate exceptions are requested by the owner and approved by the policy office. Exemptions are on the desk, with a daily lapse. Document attestation campaigns are opened from /policy (attestation.open_campaign), with reminders on the campaign schedule and answers in /tasks. Horizon scans are recorded from /policy, chased by daily horizon.remind_due, and a triggering scan opens a review cycle. Missing: (1) reminders and escalation for an approval step left pending. No job reads open Approval Decision rows. The lifecycle-phase SLA warns only the document owner, because sla.RESPONSIBLE_FIELDS names no approver. (2) Routing approvals to user groups. A step resolves to one user from a document field or a named user. required_role is stored but is not used as a queue for policy steps, unlike formation.</t>
        </is>
      </c>
      <c r="H9" s="2" t="inlineStr">
        <is>
          <t>d</t>
        </is>
      </c>
      <c r="I9" s="3" t="inlineStr">
        <is>
          <t>(d) Not implemented (whole or mandatory part)</t>
        </is>
      </c>
      <c r="J9" s="3" t="inlineStr">
        <is>
          <t>GDOC-00005 in Review: 1 step approved, 1 pending. GDOC-00006 Model Risk Management Policy: 3 approved decisions. ACAM-00004: 5 attested, 4 pending. PHSC-00002 → PRVC-00001, review triggered. PEXM-00001 authorised exemption.</t>
        </is>
      </c>
      <c r="K9" s="3" t="inlineStr">
        <is>
          <t>policy.tests.test_portal_actions.TestApprovalChain (all 15); test_lifecycle.TestApprovalRouting (all 7), TestParentOwnerApproval (all 3); consilium_core.tests.test_core_controls_wave3.TestSequentialApprovals (all 6); policy.tests.test_wave3.TestGateExceptions (all 4), TestAttestationCampaign (all 2); policy.tests.test_horizon.TestScanCadence (all 8), TestScanTriggersReview (all 5); test_entities.TestExemptionLifecycle (all 5); consilium_core.tests.test_w3_guides_core.TestCampaignReminderSchedule (all 4)</t>
        </is>
      </c>
      <c r="L9" s="3" t="inlineStr">
        <is>
          <t>Pass (qualified)</t>
        </is>
      </c>
      <c r="M9" s="3" t="inlineStr">
        <is>
          <t>✅ (what exists; nothing tests approval reminders because there are none)</t>
        </is>
      </c>
      <c r="N9" s="3" t="inlineStr">
        <is>
          <t>Direct test</t>
        </is>
      </c>
      <c r="O9" s="2" t="n">
        <v>64</v>
      </c>
      <c r="P9" s="3" t="inlineStr">
        <is>
          <t>Config + Build — workflow configuration; build for parent-owner approval injection, attestation campaign integration and horizon-scan scheduling.</t>
        </is>
      </c>
      <c r="Q9" s="2" t="inlineStr">
        <is>
          <t>Δ</t>
        </is>
      </c>
      <c r="R9" s="3" t="inlineStr">
        <is>
          <t>Class (d), No direct test</t>
        </is>
      </c>
      <c r="S9" s="3" t="inlineStr">
        <is>
          <t>E12, E14, E18, E27</t>
        </is>
      </c>
      <c r="T9" s="2" t="n">
        <v>26</v>
      </c>
    </row>
    <row r="10" ht="82" customHeight="1">
      <c r="A10" s="2" t="inlineStr">
        <is>
          <t>P-9</t>
        </is>
      </c>
      <c r="B10" s="3" t="inlineStr">
        <is>
          <t>POL</t>
        </is>
      </c>
      <c r="C10" s="2" t="inlineStr">
        <is>
          <t>Mandatory</t>
        </is>
      </c>
      <c r="D10" s="3" t="inlineStr">
        <is>
          <t>Full history; prior versions accessible; revert</t>
        </is>
      </c>
      <c r="E10" s="3" t="inlineStr">
        <is>
          <t>Version Control, Audit History and Accountability</t>
        </is>
      </c>
      <c r="F10" s="3" t="inlineStr">
        <is>
          <t>The system shall track every change to a governing document, maintain a complete history, and log every user action with timestamp and attributed actor. Prior versions shall be archived and remain accessible. The system shall additionally allow an authorised user to revert a document to a previous version.</t>
        </is>
      </c>
      <c r="G10" s="3" t="inlineStr">
        <is>
          <t>Native Version log (track_changes), shown as the change log on /policy. Body version chain in Document Version. Upload goes through publication.upload_new_version (text or a file attached privately) and revert through publication.revert_version (required reason, forward-only). Both are on /policy, and a revert keeps the lifecycle phase. Prior versions open in /document-view.</t>
        </is>
      </c>
      <c r="H10" s="2" t="inlineStr">
        <is>
          <t>a</t>
        </is>
      </c>
      <c r="I10" s="3" t="inlineStr">
        <is>
          <t>(a) Portal screen</t>
        </is>
      </c>
      <c r="J10" s="3" t="inlineStr">
        <is>
          <t>157 document versions; GDOC-00001, 00004, 00005 and 00015 have 2 versions each. No document revert has been done on the demo; the one Version Revert Log row is on forum FRM-2026-00010.</t>
        </is>
      </c>
      <c r="K10" s="3" t="inlineStr">
        <is>
          <t>policy.tests.test_portal_actions.TestVersions (all 9); policy.tests.test_wave3_policy.TestRevertLeavesTheLifecycleAlone (all 1); test_lifecycle.TestVersioningAndPublication.test_revert_writes_a_new_version_and_never_rewrites_one; consilium_core.tests.test_versioning.TestVersioning (all 9)</t>
        </is>
      </c>
      <c r="L10" s="3" t="inlineStr">
        <is>
          <t>Pass</t>
        </is>
      </c>
      <c r="M10" s="3" t="inlineStr">
        <is>
          <t>✅</t>
        </is>
      </c>
      <c r="N10" s="3" t="inlineStr">
        <is>
          <t>Direct test</t>
        </is>
      </c>
      <c r="O10" s="2" t="n">
        <v>23</v>
      </c>
      <c r="P10" s="3" t="inlineStr">
        <is>
          <t>Native + Build — native field-level version log for metadata; document body versions and revert are a build, because we hold the authoritative body.</t>
        </is>
      </c>
      <c r="Q10" s="2" t="inlineStr">
        <is>
          <t>Δ</t>
        </is>
      </c>
      <c r="R10" s="3" t="inlineStr"/>
      <c r="S10" s="3" t="inlineStr">
        <is>
          <t>E4, E27</t>
        </is>
      </c>
      <c r="T10" s="2" t="n">
        <v>16</v>
      </c>
    </row>
    <row r="11" ht="82" customHeight="1">
      <c r="A11" s="2" t="inlineStr">
        <is>
          <t>P-10</t>
        </is>
      </c>
      <c r="B11" s="3" t="inlineStr">
        <is>
          <t>POL</t>
        </is>
      </c>
      <c r="C11" s="2" t="inlineStr">
        <is>
          <t>Mandatory</t>
        </is>
      </c>
      <c r="D11" s="3" t="inlineStr">
        <is>
          <t>Periodic review: schedule, notify when due to begin and when due, SLA on overdue, outcomes</t>
        </is>
      </c>
      <c r="E11" s="3" t="inlineStr">
        <is>
          <t>Policy Maintenance</t>
        </is>
      </c>
      <c r="F11" s="3" t="inlineStr">
        <is>
          <t>The system shall support periodic reviews through scheduling, notification when a review is due to begin and when due, service-level tracking of overdue reviews, and documentation of review outcomes.</t>
        </is>
      </c>
      <c r="G11" s="3" t="inlineStr">
        <is>
          <t>Review cycles are opened and concluded with an outcome on /policy (horizon.open_review and conclude_review). The daily reminders.daily sends policy.review_cycle.starting, …due_soon, …overdue and …escalated, and policy.review.due_soon, …overdue and …escalated for documents with no cycle open. Reminder Log de-duplicates. SLA POL-REVIEW-CYCLE times a cycle that is underway. "Policy reviews due" appears in /tasks.</t>
        </is>
      </c>
      <c r="H11" s="2" t="inlineStr">
        <is>
          <t>a</t>
        </is>
      </c>
      <c r="I11" s="3" t="inlineStr">
        <is>
          <t>(a) Portal screen</t>
        </is>
      </c>
      <c r="J11" s="3" t="inlineStr">
        <is>
          <t>GDOC-00003 overdue: RMDL-00001 overdue, RMDL-00002 escalated. PRVC-00005 overdue and escalated (RMDL-00003 and 00004), and its SLA clock Breached. PRVC-00004 concluded "Minor Update".</t>
        </is>
      </c>
      <c r="K11" s="3" t="inlineStr">
        <is>
          <t>consilium_core.tests.test_reminders.TestDocumentReviewReminders (all 9); policy.tests.test_portal_actions.TestReviewsAndScans (all 7); test_entities.TestReviewCycle (all 4); test_repository.TestGoverningDocument.test_review_date_derives_from_cadence</t>
        </is>
      </c>
      <c r="L11" s="3" t="inlineStr">
        <is>
          <t>Pass</t>
        </is>
      </c>
      <c r="M11" s="3" t="inlineStr">
        <is>
          <t>✅</t>
        </is>
      </c>
      <c r="N11" s="3" t="inlineStr">
        <is>
          <t>Direct test</t>
        </is>
      </c>
      <c r="O11" s="2" t="n">
        <v>23</v>
      </c>
      <c r="P11" s="3" t="inlineStr">
        <is>
          <t>Config + Build — Document Review Cycle record; scheduled job; build for the service-level clock.</t>
        </is>
      </c>
      <c r="Q11" s="2" t="inlineStr"/>
      <c r="R11" s="3" t="inlineStr"/>
      <c r="S11" s="3" t="inlineStr">
        <is>
          <t>E29</t>
        </is>
      </c>
      <c r="T11" s="2" t="n">
        <v>3</v>
      </c>
    </row>
    <row r="12" ht="69" customHeight="1">
      <c r="A12" s="2" t="inlineStr">
        <is>
          <t>P-11</t>
        </is>
      </c>
      <c r="B12" s="3" t="inlineStr">
        <is>
          <t>POL</t>
        </is>
      </c>
      <c r="C12" s="2" t="inlineStr">
        <is>
          <t>Mandatory</t>
        </is>
      </c>
      <c r="D12" s="3" t="inlineStr">
        <is>
          <t>Monitoring: define, schedule, notify when due, log results, dashboard</t>
        </is>
      </c>
      <c r="E12" s="3" t="inlineStr">
        <is>
          <t>Monitoring and Control Activities</t>
        </is>
      </c>
      <c r="F12" s="3" t="inlineStr">
        <is>
          <t>The system shall allow monitoring activities to be defined, scheduled, tracked and reported per governing document; send notifications when they fall due; log their results; present a dashboard of monitoring outcomes for the enterprise policy office; and maintain auditable records.</t>
        </is>
      </c>
      <c r="G12" s="3" t="inlineStr">
        <is>
          <t>Monitoring Activity is defined on the desk. Results are recorded on /policy (monitoring.record_result, which moves next_due_on forward). The daily reminders.remind_monitoring sends due soon, overdue and escalated to the document owner. The "Monitoring outcomes" section on /reports exports to CSV.</t>
        </is>
      </c>
      <c r="H12" s="2" t="inlineStr">
        <is>
          <t>a</t>
        </is>
      </c>
      <c r="I12" s="3" t="inlineStr">
        <is>
          <t>(a) Portal screen</t>
        </is>
      </c>
      <c r="J12" s="3" t="inlineStr">
        <is>
          <t>PMON-00001 due 2026-08-15 is overdue and was chased (RMDL-00006, escalated RMDL-00007). PMON-00003 was chased too (RMDL-00008 and 00009). 10 results; PMRS-00003 Not Effective → PVIO-00002.</t>
        </is>
      </c>
      <c r="K12" s="3" t="inlineStr">
        <is>
          <t>policy.tests.test_monitoring.TestMonitoring (all 4); policy.tests.test_portal_actions.TestMonitoring (all 8); consilium_core.tests.test_reminders.TestMonitoringReminders (all 2); policy.tests.test_wave3.TestReporting (all 3)</t>
        </is>
      </c>
      <c r="L12" s="3" t="inlineStr">
        <is>
          <t>Pass</t>
        </is>
      </c>
      <c r="M12" s="3" t="inlineStr">
        <is>
          <t>✅</t>
        </is>
      </c>
      <c r="N12" s="3" t="inlineStr">
        <is>
          <t>Direct test</t>
        </is>
      </c>
      <c r="O12" s="2" t="n">
        <v>21</v>
      </c>
      <c r="P12" s="3" t="inlineStr">
        <is>
          <t>Config + Build — Monitoring Activity and Monitoring Result DocTypes; scheduled job; dashboard.</t>
        </is>
      </c>
      <c r="Q12" s="2" t="inlineStr"/>
      <c r="R12" s="3" t="inlineStr"/>
      <c r="S12" s="3" t="inlineStr">
        <is>
          <t>E15, E29</t>
        </is>
      </c>
      <c r="T12" s="2" t="n">
        <v>8</v>
      </c>
    </row>
    <row r="13" ht="121" customHeight="1">
      <c r="A13" s="2" t="inlineStr">
        <is>
          <t>P-12</t>
        </is>
      </c>
      <c r="B13" s="3" t="inlineStr">
        <is>
          <t>POL</t>
        </is>
      </c>
      <c r="C13" s="2" t="inlineStr">
        <is>
          <t>Mandatory</t>
        </is>
      </c>
      <c r="D13" s="3" t="inlineStr">
        <is>
          <t>Policy reporting: status, lifecycle, coverage; drill-down; families, reviews, monitoring, exceptions, violations; export</t>
        </is>
      </c>
      <c r="E13" s="3" t="inlineStr">
        <is>
          <t>Reporting and Dashboards</t>
        </is>
      </c>
      <c r="F13" s="3" t="inlineStr">
        <is>
          <t>The system shall provide reporting and dashboards for oversight of policy governance enterprise-wide, showing status, lifecycle progression, compliance, coverage and performance. Reporting shall support filtering, aggregation and drill-down by document type, lifecycle status, ownership, risk category, legal entity, applicability, review status and service-level performance. Dashboards shall present current and historical views including document families, parent-child relationships, upcoming and overdue reviews, monitoring outcomes, exceptions and violations, with export for management, audit and regulatory needs.</t>
        </is>
      </c>
      <c r="G13" s="3" t="inlineStr">
        <is>
          <t>The /reports documents section counts by phase, type, group and handling. Upcoming, overdue and no-review counts drill into /policies?standing=…. Missing metadata is listed. Families, monitoring outcomes, open violations by severity, exceptions, and review and retirement dispositions come from reporting.policy_sections, all over what the viewer may read, each with CSV export. SLA clocks are counted by DocType. Gap: drill-down by legal entity and applicability exists only through the desk report builder (DK-5, named in the trace), not on /policies.</t>
        </is>
      </c>
      <c r="H13" s="2" t="inlineStr">
        <is>
          <t>a</t>
        </is>
      </c>
      <c r="I13" s="3" t="inlineStr">
        <is>
          <t>(a) Portal screen</t>
        </is>
      </c>
      <c r="J13" s="3" t="inlineStr">
        <is>
          <t>15 documents across Draft, Review, Approved, Published, Implemented and Retired; 5 violations; 13 dispositions (PDSP-00001…13).</t>
        </is>
      </c>
      <c r="K13" s="3" t="inlineStr">
        <is>
          <t>policy.tests.test_wave3.TestReporting (all 3); consilium_core.tests.test_portal_pages.TestEveryPageIsCovered (all 1)</t>
        </is>
      </c>
      <c r="L13" s="3" t="inlineStr">
        <is>
          <t>Pass (qualified)</t>
        </is>
      </c>
      <c r="M13" s="3" t="inlineStr">
        <is>
          <t>✅ (sections and export; the browser-side counts are covered only by the page-render tests)</t>
        </is>
      </c>
      <c r="N13" s="3" t="inlineStr">
        <is>
          <t>Direct test</t>
        </is>
      </c>
      <c r="O13" s="2" t="n">
        <v>6</v>
      </c>
      <c r="P13" s="3" t="inlineStr">
        <is>
          <t>Native + Build — as G-12.</t>
        </is>
      </c>
      <c r="Q13" s="2" t="inlineStr"/>
      <c r="R13" s="3" t="inlineStr">
        <is>
          <t>No direct test</t>
        </is>
      </c>
      <c r="S13" s="3" t="inlineStr">
        <is>
          <t>E20, E33</t>
        </is>
      </c>
      <c r="T13" s="2" t="n">
        <v>6</v>
      </c>
    </row>
    <row r="14" ht="134" customHeight="1">
      <c r="A14" s="2" t="inlineStr">
        <is>
          <t>P-13</t>
        </is>
      </c>
      <c r="B14" s="3" t="inlineStr">
        <is>
          <t>POL</t>
        </is>
      </c>
      <c r="C14" s="2" t="inlineStr">
        <is>
          <t>Mandatory</t>
        </is>
      </c>
      <c r="D14" s="3" t="inlineStr">
        <is>
          <t>RBAC, segregation of duties, delegation; restricted-document controls; access changes logged</t>
        </is>
      </c>
      <c r="E14" s="3" t="inlineStr">
        <is>
          <t>Role-Based Access Control</t>
        </is>
      </c>
      <c r="F14" s="3" t="inlineStr">
        <is>
          <t>The system shall restrict access to documents, data and actions by defined role, responsibility and delegated authority, enforcing segregation of duties over creation, editing, review, approval, monitoring, reporting, upload and publication. Roles shall be configurable and shall include Policy Owner, Reviewer, Approver, Viewer, Administrator and organisational groupings. Delegation shall be supported with accountability and auditability. Enhanced controls shall apply to confidential and restricted documents, limiting view, download, print and share to authorized users. All access assignments, changes and actions shall be logged.</t>
        </is>
      </c>
      <c r="G14" s="3" t="inlineStr">
        <is>
          <t>Roles are enforced server-side (DK-2). lifecycle.authorise applies segregation of duties per action: no one bypasses their own step or approves their own gate exception. Authority Delegation is kept, with a daily refresh. Restricted-document gating is in policy/handling.py (see P-1). Refused loosening is logged, and change tracking is on.</t>
        </is>
      </c>
      <c r="H14" s="2" t="inlineStr">
        <is>
          <t>a</t>
        </is>
      </c>
      <c r="I14" s="3" t="inlineStr">
        <is>
          <t>(a) Portal screen</t>
        </is>
      </c>
      <c r="J14" s="3" t="inlineStr">
        <is>
          <t>GDOC-00015 Restricted; GDOC-00010 Confidential; 4 delegations (ADEL-00001…04).</t>
        </is>
      </c>
      <c r="K14" s="3" t="inlineStr">
        <is>
          <t>test_repository.TestGoverningDocument.test_a_reviewer_cannot_create_a_document, …test_a_policy_owner_cannot_delete_a_document, …test_the_policy_office_may_delete_a_document, …test_an_auditor_may_read_but_not_write; policy.tests.test_handling.TestVisibility (all 8), TestHandlingChanges (all 6); consilium_core.tests.test_delegation.TestDelegation (all 13); policy.tests.test_wave3.TestGateExceptions.test_nobody_approves_their_own_request</t>
        </is>
      </c>
      <c r="L14" s="3" t="inlineStr">
        <is>
          <t>Pass</t>
        </is>
      </c>
      <c r="M14" s="3" t="inlineStr">
        <is>
          <t>✅</t>
        </is>
      </c>
      <c r="N14" s="3" t="inlineStr">
        <is>
          <t>Direct test</t>
        </is>
      </c>
      <c r="O14" s="2" t="n">
        <v>35</v>
      </c>
      <c r="P14" s="3" t="inlineStr">
        <is>
          <t>Native + Config + Build — native role, permission-level and row-level permission engine; build for restricted-document action gating and the delegation register.</t>
        </is>
      </c>
      <c r="Q14" s="2" t="inlineStr">
        <is>
          <t>Δ</t>
        </is>
      </c>
      <c r="R14" s="3" t="inlineStr"/>
      <c r="S14" s="3" t="inlineStr">
        <is>
          <t>E2, E30</t>
        </is>
      </c>
      <c r="T14" s="2" t="n">
        <v>7</v>
      </c>
    </row>
    <row r="15" ht="186" customHeight="1">
      <c r="A15" s="2" t="inlineStr">
        <is>
          <t>P-14</t>
        </is>
      </c>
      <c r="B15" s="3" t="inlineStr">
        <is>
          <t>POL</t>
        </is>
      </c>
      <c r="C15" s="2" t="inlineStr">
        <is>
          <t>Mandatory</t>
        </is>
      </c>
      <c r="D15" s="3" t="inlineStr">
        <is>
          <t>Notifications across the lifecycle; templates with dynamic fields; email and in-app; conditional triggers</t>
        </is>
      </c>
      <c r="E15" s="3" t="inlineStr">
        <is>
          <t>Notifications</t>
        </is>
      </c>
      <c r="F15" s="3" t="inlineStr">
        <is>
          <t>The system shall send configurable, templated, automated notifications across every lifecycle stage — drafting comments and revisions, review, approval, publication, and maintenance activities including monitoring, annual assessments and periodic reviews — with templates carrying dynamic fields, multiple delivery channels (email, in-application) and conditional triggers on events, deadlines and service-level breaches.</t>
        </is>
      </c>
      <c r="G15" s="3" t="inlineStr">
        <is>
          <t>Notification Template (49 events, editable per channel on the desk, rendered in a Jinja sandbox) goes through notification.notify. There are e-mail (SMTP through the framework mail queue, or Microsoft Graph; hourly retry), in-app and record channels. Policy events: review and review-cycle due, starting, overdue and escalated; monitoring due, overdue and escalated; audience on publish, change and retire; review disposition (return with comments, accept); gate exception approved; attestation opened; horizon scan due; SLA warning and breach; regulatory change; approval step requested, decided and bypassed (policy.approval.requested, policy.approval.decided, policy.approval.bypassed, raised by policy/routing.py and seeded on migrate). Templates and channels are configured on the desk (DK-7) and events are raised by hooks and jobs (BG), as the trace names. The approver is also shown the step in /tasks.</t>
        </is>
      </c>
      <c r="H15" s="2" t="inlineStr">
        <is>
          <t>b</t>
        </is>
      </c>
      <c r="I15" s="3" t="inlineStr">
        <is>
          <t>(b) Desk / config / job by design</t>
        </is>
      </c>
      <c r="J15" s="3" t="inlineStr">
        <is>
          <t>79 e-mail dispatches on Governing Document subjects, for example "Review Accepted: …", "Retired: Vendor Management Standard (GDOC-00013)", "Escalated: review of Operational Risk Ma…".</t>
        </is>
      </c>
      <c r="K15" s="3" t="inlineStr">
        <is>
          <t>consilium_core.tests.test_notification_templates.TestEventApi (all 10), TestSeeding (all 2); policy.tests.test_wave3_policy.TestAudienceNotice (all 1); policy.tests.test_wave3.TestChangeAndRetirement (all 6), TestReviewerReturn.test_a_reviewer_returns_with_comments_and_the_owner_is_told; consilium_core.tests.test_reminders.TestDocumentReviewReminders (all 9); policy.tests.test_portal_actions.TestApprovalChain (all 15, including the approver being told when steps are raised); consilium_core.tests.test_graph_mail.TestTheDispatchRecord (all 7)</t>
        </is>
      </c>
      <c r="L15" s="3" t="inlineStr">
        <is>
          <t>Pass</t>
        </is>
      </c>
      <c r="M15" s="3" t="inlineStr">
        <is>
          <t>✅</t>
        </is>
      </c>
      <c r="N15" s="3" t="inlineStr">
        <is>
          <t>Direct test</t>
        </is>
      </c>
      <c r="O15" s="2" t="n">
        <v>57</v>
      </c>
      <c r="P15" s="3" t="inlineStr">
        <is>
          <t>Native + Config + Build — as G-14.</t>
        </is>
      </c>
      <c r="Q15" s="2" t="inlineStr">
        <is>
          <t>Δ</t>
        </is>
      </c>
      <c r="R15" s="3" t="inlineStr"/>
      <c r="S15" s="3" t="inlineStr">
        <is>
          <t>E19, E29, E36</t>
        </is>
      </c>
      <c r="T15" s="2" t="n">
        <v>12</v>
      </c>
    </row>
    <row r="16" ht="134" customHeight="1">
      <c r="A16" s="2" t="inlineStr">
        <is>
          <t>P-15</t>
        </is>
      </c>
      <c r="B16" s="3" t="inlineStr">
        <is>
          <t>POL</t>
        </is>
      </c>
      <c r="C16" s="2" t="inlineStr">
        <is>
          <t>Mandatory</t>
        </is>
      </c>
      <c r="D16" s="3" t="inlineStr">
        <is>
          <t>Templates per type and action; cover metadata; enforce naming conventions and required fields</t>
        </is>
      </c>
      <c r="E16" s="3" t="inlineStr">
        <is>
          <t>Document Templates</t>
        </is>
      </c>
      <c r="F16" s="3" t="inlineStr">
        <is>
          <t>The system shall allow templates to be created and configured per document type and per action (new, edit, retire, review), aligned to the corporate format including a cover page carrying required metadata, predefined sections and formatting. New document types and templates shall be creatable without custom development. Templates shall enforce standardized naming conventions and required fields, and shall carry hyperlinks to related documents and regulatory references. Collaboration for real-time feedback, revision, redlining and version comparison during drafting and review is provided by the external document editor.</t>
        </is>
      </c>
      <c r="G16" s="3" t="inlineStr">
        <is>
          <t>Document Template with sections, template file, required_fields (feeding the "Required Metadata Complete" gate) and the naming pattern, per type and action, on the desk (DK-1). policy/naming.py checks the name against the active New template's pattern on every save (desk, REST, portal) and at intake classification. The message gives the expected form. The template file and sections are not offered on the portal.</t>
        </is>
      </c>
      <c r="H16" s="2" t="inlineStr">
        <is>
          <t>b</t>
        </is>
      </c>
      <c r="I16" s="3" t="inlineStr">
        <is>
          <t>(b) Desk / config / job by design</t>
        </is>
      </c>
      <c r="J16" s="3" t="inlineStr">
        <is>
          <t>5 templates, for example "Policy — new issue" with pattern &lt;Subject&gt; Policy.</t>
        </is>
      </c>
      <c r="K16" s="3" t="inlineStr">
        <is>
          <t>policy.tests.test_naming_glossary.TestNamingPattern (all 1), TestNamingEnforcement (all 7); policy.tests.test_entities.TestDocumentTemplate (all 4)</t>
        </is>
      </c>
      <c r="L16" s="3" t="inlineStr">
        <is>
          <t>Pass</t>
        </is>
      </c>
      <c r="M16" s="3" t="inlineStr">
        <is>
          <t>✅</t>
        </is>
      </c>
      <c r="N16" s="3" t="inlineStr">
        <is>
          <t>Direct test</t>
        </is>
      </c>
      <c r="O16" s="2" t="n">
        <v>14</v>
      </c>
      <c r="P16" s="3" t="inlineStr">
        <is>
          <t>Config + Build — Document Template DocType; build for naming-convention enforcement. Collaborative drafting is out of scope here.</t>
        </is>
      </c>
      <c r="Q16" s="2" t="inlineStr">
        <is>
          <t>Δ</t>
        </is>
      </c>
      <c r="R16" s="3" t="inlineStr"/>
      <c r="S16" s="3" t="inlineStr">
        <is>
          <t>E30</t>
        </is>
      </c>
      <c r="T16" s="2" t="n">
        <v>2</v>
      </c>
    </row>
    <row r="17" ht="121" customHeight="1">
      <c r="A17" s="2" t="inlineStr">
        <is>
          <t>P-16</t>
        </is>
      </c>
      <c r="B17" s="3" t="inlineStr">
        <is>
          <t>POL</t>
        </is>
      </c>
      <c r="C17" s="2" t="inlineStr">
        <is>
          <t>Mandatory</t>
        </is>
      </c>
      <c r="D17" s="3" t="inlineStr">
        <is>
          <t>Intake form; dynamic question set classifies major or minor, driving routing and SLA; trace retained</t>
        </is>
      </c>
      <c r="E17" s="3" t="inlineStr">
        <is>
          <t>Intake Templates and Change Classification</t>
        </is>
      </c>
      <c r="F17" s="3" t="inlineStr">
        <is>
          <t>The system shall provide a configurable intake form for requests to create, change or retire a governing document. For a change to an existing document the system shall present a dynamic set of questions whose answers determine whether the change is major or minor, and that classification shall drive approval requirements, review steps, service levels and escalation paths. The system shall enforce required fields and naming conventions, and shall retain version history and the rationale for each classification, with a full audit trail of intake submissions, classification logic applied and workflow actions taken.</t>
        </is>
      </c>
      <c r="G17" s="3" t="inlineStr">
        <is>
          <t>The /policy-intake screen raises the request, answers the rule set's questions (dependent questions shown), classifies (intake.classify_request) and shows the rule that fired with its trace. The requester challenges; the policy office overrides with a justification (original kept) and creates the document. Withdrawal is recorded with a reason. The Core rules engine is versioned and sealed. Classification selects the route and starts the SLA clock. Naming is checked at intake.</t>
        </is>
      </c>
      <c r="H17" s="2" t="inlineStr">
        <is>
          <t>a</t>
        </is>
      </c>
      <c r="I17" s="3" t="inlineStr">
        <is>
          <t>(a) Portal screen</t>
        </is>
      </c>
      <c r="J17" s="3" t="inlineStr">
        <is>
          <t>PINT-00001 → CASS-00001 Major (R10) → GDOC-00006. PINT-00002 → CASS-00002 Minor (R20) → GDOC-00011. PINT-00008 classified on the portal as CASS-00005 Minor. Rule set CRS-00001 v1.0.</t>
        </is>
      </c>
      <c r="K17" s="3" t="inlineStr">
        <is>
          <t>policy.tests.test_portal_actions.TestIntake (all 12), TestPages.test_the_intake_page_renders; policy.tests.test_intake.TestClassification (all 10), TestIntakeRequest (all 4), TestClassificationDrivesRoutingAndService (all 5); consilium_core.tests.test_classification.TestClassification (all 16)</t>
        </is>
      </c>
      <c r="L17" s="3" t="inlineStr">
        <is>
          <t>Pass</t>
        </is>
      </c>
      <c r="M17" s="3" t="inlineStr">
        <is>
          <t>✅</t>
        </is>
      </c>
      <c r="N17" s="3" t="inlineStr">
        <is>
          <t>Direct test</t>
        </is>
      </c>
      <c r="O17" s="2" t="n">
        <v>51</v>
      </c>
      <c r="P17" s="3" t="inlineStr">
        <is>
          <t>Build — an admin-configured rules engine: question sets, answer options, rules and resulting classification, evaluated at submission and recorded with the evaluation trace.</t>
        </is>
      </c>
      <c r="Q17" s="2" t="inlineStr">
        <is>
          <t>Δ</t>
        </is>
      </c>
      <c r="R17" s="3" t="inlineStr"/>
      <c r="S17" s="3" t="inlineStr">
        <is>
          <t>E13, E27</t>
        </is>
      </c>
      <c r="T17" s="2" t="n">
        <v>16</v>
      </c>
    </row>
    <row r="18" ht="95" customHeight="1">
      <c r="A18" s="2" t="inlineStr">
        <is>
          <t>P-17</t>
        </is>
      </c>
      <c r="B18" s="3" t="inlineStr">
        <is>
          <t>POL</t>
        </is>
      </c>
      <c r="C18" s="2" t="inlineStr">
        <is>
          <t>Mandatory</t>
        </is>
      </c>
      <c r="D18" s="3" t="inlineStr">
        <is>
          <t>Attach any documents; audit log</t>
        </is>
      </c>
      <c r="E18" s="3" t="inlineStr">
        <is>
          <t>Document Management</t>
        </is>
      </c>
      <c r="F18" s="3" t="inlineStr">
        <is>
          <t>The system shall allow documents to be attached with no limitation on type or number, and shall present an audit log of all activity.</t>
        </is>
      </c>
      <c r="G18" s="3" t="inlineStr">
        <is>
          <t>Native attachments (desk, DK-6); body files uploaded from /policy are attached privately. The change log is on /policy. record_history (changes, comments and notifications) and the evidence-pack ZIP with a SHA-256 manifest come from evidence.export_pack on /policy.</t>
        </is>
      </c>
      <c r="H18" s="2" t="inlineStr">
        <is>
          <t>b</t>
        </is>
      </c>
      <c r="I18" s="3" t="inlineStr">
        <is>
          <t>(b) Desk / config / job by design</t>
        </is>
      </c>
      <c r="J18" s="3" t="inlineStr">
        <is>
          <t>55 Version rows and 47 comments on governing documents; 1 file attachment.</t>
        </is>
      </c>
      <c r="K18" s="3" t="inlineStr">
        <is>
          <t>test_repository.TestGoverningDocument.test_update_is_tracked; policy.tests.test_handling.TestActions.test_an_attached_file_follows_the_download_flag_and_the_owner_may_always_download; policy.tests.test_portal_actions.TestVersions.test_a_file_attached_to_the_document_becomes_a_version; consilium_core.tests.test_core_controls_wave3.TestHistoryAndEvidencePack (all 4)</t>
        </is>
      </c>
      <c r="L18" s="3" t="inlineStr">
        <is>
          <t>Pass (qualified)</t>
        </is>
      </c>
      <c r="M18" s="3" t="inlineStr">
        <is>
          <t>✅ (tracking switched on; the framework writes no Version rows under test)</t>
        </is>
      </c>
      <c r="N18" s="3" t="inlineStr">
        <is>
          <t>Direct test</t>
        </is>
      </c>
      <c r="O18" s="2" t="n">
        <v>10</v>
      </c>
      <c r="P18" s="3" t="inlineStr">
        <is>
          <t>Native — native attachment and activity log.</t>
        </is>
      </c>
      <c r="Q18" s="2" t="inlineStr"/>
      <c r="R18" s="3" t="inlineStr">
        <is>
          <t>No direct test</t>
        </is>
      </c>
      <c r="S18" s="3" t="inlineStr">
        <is>
          <t>E5</t>
        </is>
      </c>
      <c r="T18" s="2" t="n">
        <v>5</v>
      </c>
    </row>
    <row r="19" ht="95" customHeight="1">
      <c r="A19" s="2" t="inlineStr">
        <is>
          <t>P-18</t>
        </is>
      </c>
      <c r="B19" s="3" t="inlineStr">
        <is>
          <t>POL</t>
        </is>
      </c>
      <c r="C19" s="2" t="inlineStr">
        <is>
          <t>Mandatory</t>
        </is>
      </c>
      <c r="D19" s="3" t="inlineStr">
        <is>
          <t>Retention and WORM</t>
        </is>
      </c>
      <c r="E19" s="3" t="inlineStr">
        <is>
          <t>Data and Document Retention</t>
        </is>
      </c>
      <c r="F19" s="3" t="inlineStr">
        <is>
          <t>The system shall retain data and documents in accordance with the applicable retention policy and requirements, and shall hold documents and data in a write-once, read-many form for the duration of their retention period.</t>
        </is>
      </c>
      <c r="G19" s="3" t="inlineStr">
        <is>
          <t>Core retention guards (wildcard before_validate and on_trash), legal hold, and daily retention.flag_due_for_disposal, which raises a Disposition Event awaiting approval and deletes nothing. A retired document records its retention position in Document Disposition. Gap: executing a disposal (retention.execute_disposition) has no caller outside tests, so it is reachable from code only. Retention Assignment and Legal Hold are desk records.</t>
        </is>
      </c>
      <c r="H19" s="2" t="inlineStr">
        <is>
          <t>c</t>
        </is>
      </c>
      <c r="I19" s="3" t="inlineStr">
        <is>
          <t>(c) Partly reachable</t>
        </is>
      </c>
      <c r="J19" s="3" t="inlineStr">
        <is>
          <t>All 15 documents carry retention_class POL-DOCUMENT, but there are 0 Retention Assignments, 0 Legal Holds and 0 Disposition Events on the demo. PDSP-00013 records GDOC-00013's retirement.</t>
        </is>
      </c>
      <c r="K19" s="3" t="inlineStr">
        <is>
          <t>consilium_core.tests.test_retention.TestRetention (all 14); consilium_core.tests.test_core_controls_wave3.TestScheduledDisposalReview (all 5)</t>
        </is>
      </c>
      <c r="L19" s="3" t="inlineStr">
        <is>
          <t>Pass</t>
        </is>
      </c>
      <c r="M19" s="3" t="inlineStr">
        <is>
          <t>✅</t>
        </is>
      </c>
      <c r="N19" s="3" t="inlineStr">
        <is>
          <t>Direct test</t>
        </is>
      </c>
      <c r="O19" s="2" t="n">
        <v>21</v>
      </c>
      <c r="P19" s="3" t="inlineStr">
        <is>
          <t>Build — as G-16.</t>
        </is>
      </c>
      <c r="Q19" s="2" t="inlineStr">
        <is>
          <t>Δ</t>
        </is>
      </c>
      <c r="R19" s="3" t="inlineStr">
        <is>
          <t>Class (c)</t>
        </is>
      </c>
      <c r="S19" s="3" t="inlineStr">
        <is>
          <t>E5</t>
        </is>
      </c>
      <c r="T19" s="2" t="n">
        <v>5</v>
      </c>
    </row>
    <row r="20" ht="82" customHeight="1">
      <c r="A20" s="2" t="inlineStr">
        <is>
          <t>P-19</t>
        </is>
      </c>
      <c r="B20" s="3" t="inlineStr">
        <is>
          <t>POL</t>
        </is>
      </c>
      <c r="C20" s="2" t="inlineStr">
        <is>
          <t>Mandatory</t>
        </is>
      </c>
      <c r="D20" s="3" t="inlineStr">
        <is>
          <t>Publish to audiences with view-only, print or download renditions; retain retired and superseded</t>
        </is>
      </c>
      <c r="E20" s="3" t="inlineStr">
        <is>
          <t>Publication</t>
        </is>
      </c>
      <c r="F20" s="3" t="inlineStr">
        <is>
          <t>The system shall publish governing documents with controlled access — general population, restricted, or targeted groups — supporting view-only, print-enabled and downloadable renditions according to role-based permission. Retired and superseded documents shall be retained with their version history.</t>
        </is>
      </c>
      <c r="G20" s="3" t="inlineStr">
        <is>
          <t>/policy Publish: publication.audience_preview first, then publish_record (All Employees, restricted or targeted groups; rendition flags), and withdraw_publication. The audience is told through policy.document.audience. Renditions are enforced by handling.rendition on print, download and /document-view. Retired and superseded documents keep their chain.</t>
        </is>
      </c>
      <c r="H20" s="2" t="inlineStr">
        <is>
          <t>a</t>
        </is>
      </c>
      <c r="I20" s="3" t="inlineStr">
        <is>
          <t>(a) Portal screen</t>
        </is>
      </c>
      <c r="J20" s="3" t="inlineStr">
        <is>
          <t>PPUB-00008: GDOC-00010, Targeted Groups, view-only. GDOC-00013 Vendor Management Standard: Retired, superseded by GDOC-00005, 11 publications.</t>
        </is>
      </c>
      <c r="K20" s="3" t="inlineStr">
        <is>
          <t>policy.tests.test_portal_actions.TestPublication (all 7); policy.tests.test_handling.TestActions.test_a_view_only_rendition_closes_download_even_when_the_document_allows_it; test_lifecycle.TestVersioningAndPublication.test_a_view_only_rendition_closes_print_and_download</t>
        </is>
      </c>
      <c r="L20" s="3" t="inlineStr">
        <is>
          <t>Pass</t>
        </is>
      </c>
      <c r="M20" s="3" t="inlineStr">
        <is>
          <t>✅</t>
        </is>
      </c>
      <c r="N20" s="3" t="inlineStr">
        <is>
          <t>Direct test</t>
        </is>
      </c>
      <c r="O20" s="2" t="n">
        <v>11</v>
      </c>
      <c r="P20" s="3" t="inlineStr">
        <is>
          <t>Build — Document Publication record carrying audience and permitted renditions; build for the rendition-permission gate.</t>
        </is>
      </c>
      <c r="Q20" s="2" t="inlineStr"/>
      <c r="R20" s="3" t="inlineStr"/>
      <c r="S20" s="3" t="inlineStr">
        <is>
          <t>E27, E30</t>
        </is>
      </c>
      <c r="T20" s="2" t="n">
        <v>14</v>
      </c>
    </row>
    <row r="21" ht="173" customHeight="1">
      <c r="A21" s="2" t="inlineStr">
        <is>
          <t>P-20</t>
        </is>
      </c>
      <c r="B21" s="3" t="inlineStr">
        <is>
          <t>POL</t>
        </is>
      </c>
      <c r="C21" s="2" t="inlineStr">
        <is>
          <t>Mandatory</t>
        </is>
      </c>
      <c r="D21" s="3" t="inlineStr">
        <is>
          <t>Governed exchange: mapped, validated, handling rules, traceable</t>
        </is>
      </c>
      <c r="E21" s="3" t="inlineStr">
        <is>
          <t>Integration Capabilities</t>
        </is>
      </c>
      <c r="F21" s="3" t="inlineStr">
        <is>
          <t>The system shall exchange policy data consistently with enterprise risk, governance and related platforms, keeping policy information, metadata and relationships aligned with authoritative sources. Inbound and outbound exchanges shall be field-mapped and configurable for source/target compatibility; alignment to enterprise taxonomies (organisational hierarchy, primary risk category, material entity) shall be maintained; handling rules shall be defined for invalid, missing or incomplete data; integration methods and frequency shall be configurable; exchanges shall support enterprise records management and retention, and enterprise identity for user selection, organisational alignment and notification routing; inbound and outbound data shall be validated for completeness and integrity; and all integration activity shall be traceable for audit and compliance.</t>
        </is>
      </c>
      <c r="G21" s="3" t="inlineStr">
        <is>
          <t>Inbound goes through /imports (CS-11): upload with a hash, mapping, validation, per-row review, exclude, revalidate, commit and discard, all batch-logged. Gap: the governed outbound export (importing.export_records, which writes an Export Batch) has no caller outside tests. Policy data leaves only as the /reports CSV (reporting.export, not batch-logged or mapped) or through desk report export. No import profile targets Governing Document.</t>
        </is>
      </c>
      <c r="H21" s="2" t="inlineStr">
        <is>
          <t>c</t>
        </is>
      </c>
      <c r="I21" s="3" t="inlineStr">
        <is>
          <t>(c) Partly reachable</t>
        </is>
      </c>
      <c r="J21" s="3" t="inlineStr">
        <is>
          <t>IMPP-00001 Regulatory changes (seeded); IMPB-00001 is an escalation batch. No policy-document batch and no Export Batch.</t>
        </is>
      </c>
      <c r="K21" s="3" t="inlineStr">
        <is>
          <t>consilium_core.tests.test_import_pipeline.TestImportPipeline (all 9); consilium_core.tests.test_imports_portal.TestUpload (all 5), TestReview (all 7), TestDiscard (all 1), TestMethods (all 1); policy.tests.test_wave3.TestRegulatoryChangeImport (all 2)</t>
        </is>
      </c>
      <c r="L21" s="3" t="inlineStr">
        <is>
          <t>Pass</t>
        </is>
      </c>
      <c r="M21" s="3" t="inlineStr">
        <is>
          <t>✅</t>
        </is>
      </c>
      <c r="N21" s="3" t="inlineStr">
        <is>
          <t>Direct test</t>
        </is>
      </c>
      <c r="O21" s="2" t="n">
        <v>28</v>
      </c>
      <c r="P21" s="3" t="inlineStr">
        <is>
          <t>Build — the manual/file import and export service, with mapping, validation, handling rules and a traceable batch log. Identity alignment is satisfied by app-native users with pluggable single sign-on.</t>
        </is>
      </c>
      <c r="Q21" s="2" t="inlineStr">
        <is>
          <t>Δ</t>
        </is>
      </c>
      <c r="R21" s="3" t="inlineStr">
        <is>
          <t>Class (c)</t>
        </is>
      </c>
      <c r="S21" s="3" t="inlineStr">
        <is>
          <t>E21, E28</t>
        </is>
      </c>
      <c r="T21" s="2" t="n">
        <v>7</v>
      </c>
    </row>
    <row r="22" ht="95" customHeight="1">
      <c r="A22" s="2" t="inlineStr">
        <is>
          <t>P-21</t>
        </is>
      </c>
      <c r="B22" s="3" t="inlineStr">
        <is>
          <t>POL</t>
        </is>
      </c>
      <c r="C22" s="2" t="inlineStr">
        <is>
          <t>Mandatory</t>
        </is>
      </c>
      <c r="D22" s="3" t="inlineStr">
        <is>
          <t>Applicability and exemptions; notify applicable parties on create, change, retire</t>
        </is>
      </c>
      <c r="E22" s="3" t="inlineStr">
        <is>
          <t>Applicability Management</t>
        </is>
      </c>
      <c r="F22" s="3" t="inlineStr">
        <is>
          <t>The system shall maintain applicability for each governing document and notify applicable parties automatically when a document is created, changed or retired. Applicability shall cover business units, subsidiaries and material entities; jurisdictions at provincial, federal and international level; roles or functions responsible for compliance; and formal exemptions and deviations with their approvals.</t>
        </is>
      </c>
      <c r="G22" s="3" t="inlineStr">
        <is>
          <t>Document Applicability and Applicability Exemption are captured on the desk and shown on /policy, with a daily lapse of expired exemptions. The audience is resolved at the time (applicability.affected_parties), and the publish panel previews it. First publication raises policy.document.audience; a new version in force raises policy.document.changed and retirement policy.document.retired (disposition.py, from on_update).</t>
        </is>
      </c>
      <c r="H22" s="2" t="inlineStr">
        <is>
          <t>a</t>
        </is>
      </c>
      <c r="I22" s="3" t="inlineStr">
        <is>
          <t>(a) Portal screen</t>
        </is>
      </c>
      <c r="J22" s="3" t="inlineStr">
        <is>
          <t>GDOC-00010: PEXM-00001 authorised Legal Entity exemption; PEXM-00002 deviation requested on GDOC-00004. Retirement notice sent for GDOC-00013.</t>
        </is>
      </c>
      <c r="K22" s="3" t="inlineStr">
        <is>
          <t>test_repository.TestApplicability (all 8); test_entities.TestExemptionLifecycle (all 5); policy.tests.test_wave3.TestChangeAndRetirement (all 6); policy.tests.test_portal_actions.TestPublication.test_the_office_records_a_publication_and_the_audience_is_told</t>
        </is>
      </c>
      <c r="L22" s="3" t="inlineStr">
        <is>
          <t>Pass</t>
        </is>
      </c>
      <c r="M22" s="3" t="inlineStr">
        <is>
          <t>✅</t>
        </is>
      </c>
      <c r="N22" s="3" t="inlineStr">
        <is>
          <t>Direct test</t>
        </is>
      </c>
      <c r="O22" s="2" t="n">
        <v>22</v>
      </c>
      <c r="P22" s="3" t="inlineStr">
        <is>
          <t>Config + Build — Document Applicability child table and Applicability Exemption DocType; build for the notification fan-out to the resolved audience.</t>
        </is>
      </c>
      <c r="Q22" s="2" t="inlineStr"/>
      <c r="R22" s="3" t="inlineStr"/>
      <c r="S22" s="3" t="inlineStr">
        <is>
          <t>E11</t>
        </is>
      </c>
      <c r="T22" s="2" t="n">
        <v>5</v>
      </c>
    </row>
    <row r="23" ht="82" customHeight="1">
      <c r="A23" s="2" t="inlineStr">
        <is>
          <t>P-22</t>
        </is>
      </c>
      <c r="B23" s="3" t="inlineStr">
        <is>
          <t>POL</t>
        </is>
      </c>
      <c r="C23" s="2" t="inlineStr">
        <is>
          <t>Mandatory</t>
        </is>
      </c>
      <c r="D23" s="3" t="inlineStr">
        <is>
          <t>Violations captured, linkable to an external issue, auditable, reportable</t>
        </is>
      </c>
      <c r="E23" s="3" t="inlineStr">
        <is>
          <t>Violation and Issue Management</t>
        </is>
      </c>
      <c r="F23" s="3" t="inlineStr">
        <is>
          <t>The system shall capture policy violations — document reference, violation type, date, responsible party and corrective actions — and shall support linking a logged violation to an external issue-management record. All violations shall maintain an audit trail and be reportable for compliance monitoring and governance.</t>
        </is>
      </c>
      <c r="G23" s="3" t="inlineStr">
        <is>
          <t>Policy Violation is logged and moved on from /policy (monitoring.log_violation and update_violation). The controller refuses reopening, and refuses closing without a note. Violations appear on /policy and under "Open violations" on /reports, with CSV export. The external issue link (external_reference) and the escalation link are set on the desk (DK-1, named in the trace).</t>
        </is>
      </c>
      <c r="H23" s="2" t="inlineStr">
        <is>
          <t>a</t>
        </is>
      </c>
      <c r="I23" s="3" t="inlineStr">
        <is>
          <t>(a) Portal screen</t>
        </is>
      </c>
      <c r="J23" s="3" t="inlineStr">
        <is>
          <t>PVIO-00001 High on GDOC-00012 → ESC-2026-00009. PVIO-00002 on GDOC-00010 → ESC-2026-00003.</t>
        </is>
      </c>
      <c r="K23" s="3" t="inlineStr">
        <is>
          <t>policy.tests.test_monitoring.TestViolations (all 5); policy.tests.test_wave3.TestViolationTransitions (all 3), TestReporting (all 3); policy.tests.test_portal_actions.TestMonitoring.test_a_reviewer_logs_a_violation</t>
        </is>
      </c>
      <c r="L23" s="3" t="inlineStr">
        <is>
          <t>Pass</t>
        </is>
      </c>
      <c r="M23" s="3" t="inlineStr">
        <is>
          <t>✅</t>
        </is>
      </c>
      <c r="N23" s="3" t="inlineStr">
        <is>
          <t>Direct test</t>
        </is>
      </c>
      <c r="O23" s="2" t="n">
        <v>15</v>
      </c>
      <c r="P23" s="3" t="inlineStr">
        <is>
          <t>Config + Build — Policy Violation DocType; the external issue link is stored as a reference identifier plus an import/export mapping, not a live connector.</t>
        </is>
      </c>
      <c r="Q23" s="2" t="inlineStr">
        <is>
          <t>Δ</t>
        </is>
      </c>
      <c r="R23" s="3" t="inlineStr"/>
      <c r="S23" s="3" t="inlineStr">
        <is>
          <t>E15, E33</t>
        </is>
      </c>
      <c r="T23" s="2" t="n">
        <v>6</v>
      </c>
    </row>
    <row r="24" ht="82" customHeight="1">
      <c r="A24" s="2" t="inlineStr">
        <is>
          <t>P-23</t>
        </is>
      </c>
      <c r="B24" s="3" t="inlineStr">
        <is>
          <t>POL</t>
        </is>
      </c>
      <c r="C24" s="2" t="inlineStr">
        <is>
          <t>Mandatory</t>
        </is>
      </c>
      <c r="D24" s="3" t="inlineStr">
        <is>
          <t>Detect metadata left invalid (retired parent) and require realignment</t>
        </is>
      </c>
      <c r="E24" s="3" t="inlineStr">
        <is>
          <t>Metadata Integrity Maintenance</t>
        </is>
      </c>
      <c r="F24" s="3" t="inlineStr">
        <is>
          <t>The system shall allow document owners and the enterprise policy office to identify changes that leave required fields invalid — for example, where a required parent document is retired, the child document shall be notified and its owner required to realign to a new parent.</t>
        </is>
      </c>
      <c r="G24" s="3" t="inlineStr">
        <is>
          <t>on_update raises a Metadata Remediation Task when a parent leaves force. The task appears in /tasks under "Metadata to correct" and is corrected in place on /policy (metadata.correct_metadata, which resolves the task). /reports lists missing metadata with a "Correct in place" link.</t>
        </is>
      </c>
      <c r="H24" s="2" t="inlineStr">
        <is>
          <t>a</t>
        </is>
      </c>
      <c r="I24" s="3" t="inlineStr">
        <is>
          <t>(a) Portal screen</t>
        </is>
      </c>
      <c r="J24" s="3" t="inlineStr">
        <is>
          <t>GDOC-00013 retired → PMRT-00001 on GDOC-00014 (parent_document, "Parent Retired").</t>
        </is>
      </c>
      <c r="K24" s="3" t="inlineStr">
        <is>
          <t>policy.tests.test_monitoring.TestMetadataMaintenance (all 7); policy.tests.test_wave3.TestMetadataCorrection (all 3); policy.tests.test_regressions.TestReopening.test_reopening_a_parent_does_not_tell_its_children_their_parent_retired, …test_retiring_a_parent_still_tells_its_children, TestMaintenanceView (all 1)</t>
        </is>
      </c>
      <c r="L24" s="3" t="inlineStr">
        <is>
          <t>Pass</t>
        </is>
      </c>
      <c r="M24" s="3" t="inlineStr">
        <is>
          <t>✅</t>
        </is>
      </c>
      <c r="N24" s="3" t="inlineStr">
        <is>
          <t>Direct test</t>
        </is>
      </c>
      <c r="O24" s="2" t="n">
        <v>16</v>
      </c>
      <c r="P24" s="3" t="inlineStr">
        <is>
          <t>Build — referential-consequence detection on lifecycle transitions, raising a remediation task.</t>
        </is>
      </c>
      <c r="Q24" s="2" t="inlineStr"/>
      <c r="R24" s="3" t="inlineStr"/>
      <c r="S24" s="3" t="inlineStr">
        <is>
          <t>E15, E28</t>
        </is>
      </c>
      <c r="T24" s="2" t="n">
        <v>8</v>
      </c>
    </row>
    <row r="25" ht="95" customHeight="1">
      <c r="A25" s="2" t="inlineStr">
        <is>
          <t>P-24</t>
        </is>
      </c>
      <c r="B25" s="3" t="inlineStr">
        <is>
          <t>POL</t>
        </is>
      </c>
      <c r="C25" s="2" t="inlineStr">
        <is>
          <t>Mandatory</t>
        </is>
      </c>
      <c r="D25" s="3" t="inlineStr">
        <is>
          <t>Glossary at enterprise and document level; prevent use of terms not in the approved glossary; linkable; versioned</t>
        </is>
      </c>
      <c r="E25" s="3" t="inlineStr">
        <is>
          <t>Glossary Management</t>
        </is>
      </c>
      <c r="F25" s="3" t="inlineStr">
        <is>
          <t>The system shall maintain a glossary of terms at enterprise level and at lower levels such as document or document-family level. It shall enforce the use of official definitions by preventing users from creating or applying terms not in the approved glossary. Terms shall be linkable to documents for contextual help. All glossary changes shall carry version control and a complete audit trail.</t>
        </is>
      </c>
      <c r="G25" s="3" t="inlineStr">
        <is>
          <t>Glossary Term sits on the Core version chain (desk). The enforcement validator refuses and logs a synonym or retired wording used instead of an enforced term, on save and on version upload. Definitions are shown in context on /policy and /document-view (glossary.in_context). Document-scoped terms are supported. Note: enforcement works through the synonyms and retired wording recorded against enforced terms; text that is in no glossary at all cannot be detected.</t>
        </is>
      </c>
      <c r="H25" s="2" t="inlineStr">
        <is>
          <t>a</t>
        </is>
      </c>
      <c r="I25" s="3" t="inlineStr">
        <is>
          <t>(a) Portal screen</t>
        </is>
      </c>
      <c r="J25" s="3" t="inlineStr">
        <is>
          <t>13 terms; GTRM-00012 "Emergency Change" scoped to GDOC-00012 and enforced; GTRM-00011 Proposed.</t>
        </is>
      </c>
      <c r="K25" s="3" t="inlineStr">
        <is>
          <t>policy.tests.test_naming_glossary.TestGlossaryEnforcement (all 9); policy.tests.test_wave3.TestGlossaryOnThePage (all 2); policy.tests.test_monitoring.TestGlossary (all 8)</t>
        </is>
      </c>
      <c r="L25" s="3" t="inlineStr">
        <is>
          <t>Pass</t>
        </is>
      </c>
      <c r="M25" s="3" t="inlineStr">
        <is>
          <t>✅</t>
        </is>
      </c>
      <c r="N25" s="3" t="inlineStr">
        <is>
          <t>Direct test</t>
        </is>
      </c>
      <c r="O25" s="2" t="n">
        <v>22</v>
      </c>
      <c r="P25" s="3" t="inlineStr">
        <is>
          <t>Config + Build — Glossary Term DocType; build for the enforcement validator and the term-to-document linkage.</t>
        </is>
      </c>
      <c r="Q25" s="2" t="inlineStr"/>
      <c r="R25" s="3" t="inlineStr"/>
      <c r="S25" s="3" t="inlineStr">
        <is>
          <t>E15, E30</t>
        </is>
      </c>
      <c r="T25" s="2" t="n">
        <v>7</v>
      </c>
    </row>
    <row r="26" ht="108" customHeight="1">
      <c r="A26" s="2" t="inlineStr">
        <is>
          <t>P-25</t>
        </is>
      </c>
      <c r="B26" s="3" t="inlineStr">
        <is>
          <t>POL</t>
        </is>
      </c>
      <c r="C26" s="2" t="inlineStr">
        <is>
          <t>Mandatory</t>
        </is>
      </c>
      <c r="D26" s="3" t="inlineStr">
        <is>
          <t>No publication without the complete approval set; bypass only with a documented exception</t>
        </is>
      </c>
      <c r="E26" s="3" t="inlineStr">
        <is>
          <t>Approval Management</t>
        </is>
      </c>
      <c r="F26" s="3" t="inlineStr">
        <is>
          <t>The system shall enforce a mandatory approval control before any governing document is published. No document may be published without completing all approvals required for its classification — new, major revision or minor revision. The approval workflow shall be configurable for multiple steps and roles, sequential or parallel, and shall keep a full audit trail of approvals including timestamp, approver identity and decision. Bypass or override without documented exception authorisation shall be prevented.</t>
        </is>
      </c>
      <c r="G26" s="3" t="inlineStr">
        <is>
          <t>Gates (Complete Approval Chain on Approved and Published; Current Version; Applicability; Publication Record) run from GoverningDocument.validate on every route. /policy shows the failing gate before an action is taken and refuses it after. Sequential order is enforced by Core. A bypass or gate exception needs an Exception Authorisation approved by the policy office, never self-approved. Record Approval needs a complete chain.</t>
        </is>
      </c>
      <c r="H26" s="2" t="inlineStr">
        <is>
          <t>a</t>
        </is>
      </c>
      <c r="I26" s="3" t="inlineStr">
        <is>
          <t>(a) Portal screen</t>
        </is>
      </c>
      <c r="J26" s="3" t="inlineStr">
        <is>
          <t>GDOC-00005 in Review: 1 approved and 1 pending step. GDOC-00011 in Review: 1 pending. Gates PLGT-00001…06.</t>
        </is>
      </c>
      <c r="K26" s="3" t="inlineStr">
        <is>
          <t>test_lifecycle.TestPublicationRefusal (all 7); policy.tests.test_regressions.TestGatesOnEveryRoute (all 3); policy.tests.test_w3_record_approval.TestRecordApprovalChecksTheChain (all 5); policy.tests.test_wave3.TestGateExceptions (all 4); policy.tests.test_portal_actions.TestLifecycleActions (all 8); policy.tests.test_wave3_policy.TestDocumentStepOrder (all 1)</t>
        </is>
      </c>
      <c r="L26" s="3" t="inlineStr">
        <is>
          <t>Pass</t>
        </is>
      </c>
      <c r="M26" s="3" t="inlineStr">
        <is>
          <t>✅</t>
        </is>
      </c>
      <c r="N26" s="3" t="inlineStr">
        <is>
          <t>Direct test</t>
        </is>
      </c>
      <c r="O26" s="2" t="n">
        <v>33</v>
      </c>
      <c r="P26" s="3" t="inlineStr">
        <is>
          <t>Config + Build — workflow gate on the publish transition; build for the classification-to-approval-set resolution and the exception-authorisation record.</t>
        </is>
      </c>
      <c r="Q26" s="2" t="inlineStr"/>
      <c r="R26" s="3" t="inlineStr"/>
      <c r="S26" s="3" t="inlineStr">
        <is>
          <t>E12, E30</t>
        </is>
      </c>
      <c r="T26" s="2" t="n">
        <v>8</v>
      </c>
    </row>
    <row r="27" ht="147" customHeight="1">
      <c r="A27" s="2" t="inlineStr">
        <is>
          <t>P-26</t>
        </is>
      </c>
      <c r="B27" s="3" t="inlineStr">
        <is>
          <t>POL</t>
        </is>
      </c>
      <c r="C27" s="2" t="inlineStr">
        <is>
          <t>Mandatory</t>
        </is>
      </c>
      <c r="D27" s="3" t="inlineStr">
        <is>
          <t>Structured review: review stage, reviewer assignment, disposition with notification, version chain (editing is external)</t>
        </is>
      </c>
      <c r="E27" s="3" t="inlineStr">
        <is>
          <t>Structured Editing and Review</t>
        </is>
      </c>
      <c r="F27" s="3" t="inlineStr">
        <is>
          <t>The system shall support a structured editing and review capability: transition of a document into a designated review stage; reviewer assignment configurable by role, group or document characteristic; sequential or parallel review; inline comment and revision suggestion; owner disposition of feedback in real time with automatic notification to the originator; version control with visibility of all changes; a complete audit trail of comments, dispositions, edits and notifications; and retention of prior versions.</t>
        </is>
      </c>
      <c r="G27" s="3" t="inlineStr">
        <is>
          <t>The review stage is reached through "Submit for Review" on /policy. The reviewer returns with comments ("Return to Drafting") on /policy, cannot edit the content, and the owner is told. Reviewers and approvers are assigned by role (workflow) and by document characteristic (Approval Route), sequential or parallel. A Document Disposition is written per review round, "Review Returned" or "Review Accepted", and the originator is told (policy.review.disposition). Version chain as in P-9. Gap: a reviewer cannot take "Return to Drafting" from the desk. The Review state is editable only by the owner, so the desk's workflow action fails for the reviewer; the portal works. No assignment by user group.</t>
        </is>
      </c>
      <c r="H27" s="2" t="inlineStr">
        <is>
          <t>a</t>
        </is>
      </c>
      <c r="I27" s="3" t="inlineStr">
        <is>
          <t>(a) Portal screen</t>
        </is>
      </c>
      <c r="J27" s="3" t="inlineStr">
        <is>
          <t>PDSP-00001…12 Review Accepted (one per published document); GDOC-00005, 00011 and 00015 in Review. There is no "Review Returned" disposition on the demo.</t>
        </is>
      </c>
      <c r="K27" s="3" t="inlineStr">
        <is>
          <t>policy.tests.test_wave3.TestReviewerReturn (all 4); policy.tests.test_portal_actions.TestLifecycleActions.test_a_reviewer_returns_a_document_to_drafting; test_lifecycle.TestLifecycleTransitions (all 4)</t>
        </is>
      </c>
      <c r="L27" s="3" t="inlineStr">
        <is>
          <t>Pass</t>
        </is>
      </c>
      <c r="M27" s="3" t="inlineStr">
        <is>
          <t>✅</t>
        </is>
      </c>
      <c r="N27" s="3" t="inlineStr">
        <is>
          <t>Direct test</t>
        </is>
      </c>
      <c r="O27" s="2" t="n">
        <v>11</v>
      </c>
      <c r="P27" s="3" t="inlineStr">
        <is>
          <t>Build (partial) + external — inline commenting, revision suggestion and collaborative editing belong to the external document editor. Ours: the review-stage transition, reviewer assignment, the disposition record and its notification, the authoritative version chain, and retention of prior versions.</t>
        </is>
      </c>
      <c r="Q27" s="2" t="inlineStr">
        <is>
          <t>Δ</t>
        </is>
      </c>
      <c r="R27" s="3" t="inlineStr"/>
      <c r="S27" s="3" t="inlineStr">
        <is>
          <t>E27, E33</t>
        </is>
      </c>
      <c r="T27" s="2" t="n">
        <v>13</v>
      </c>
    </row>
  </sheetData>
  <conditionalFormatting sqref="H2:H27">
    <cfRule type="expression" priority="1" dxfId="0" stopIfTrue="1">
      <formula>H2="a"</formula>
    </cfRule>
    <cfRule type="expression" priority="2" dxfId="1" stopIfTrue="1">
      <formula>H2="b"</formula>
    </cfRule>
    <cfRule type="expression" priority="3" dxfId="2" stopIfTrue="1">
      <formula>H2="c"</formula>
    </cfRule>
    <cfRule type="expression" priority="4" dxfId="3" stopIfTrue="1">
      <formula>H2="d"</formula>
    </cfRule>
  </conditionalFormatting>
  <conditionalFormatting sqref="L2:L27">
    <cfRule type="expression" priority="5" dxfId="0" stopIfTrue="1">
      <formula>L2="Pass"</formula>
    </cfRule>
    <cfRule type="expression" priority="6" dxfId="4" stopIfTrue="1">
      <formula>L2="Pass (qualified)"</formula>
    </cfRule>
    <cfRule type="expression" priority="7" dxfId="2" stopIfTrue="1">
      <formula>L2="No direct test"</formula>
    </cfRule>
    <cfRule type="expression" priority="8" dxfId="3" stopIfTrue="1">
      <formula>L2="Fail"</formula>
    </cfRule>
  </conditionalFormatting>
  <conditionalFormatting sqref="N2:N27">
    <cfRule type="expression" priority="9" dxfId="2" stopIfTrue="1">
      <formula>N2="No direct test"</formula>
    </cfRule>
    <cfRule type="expression" priority="10" dxfId="3" stopIfTrue="1">
      <formula>N2="Failing test"</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T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26" customWidth="1" min="4" max="4"/>
    <col width="22" customWidth="1" min="5" max="5"/>
    <col width="60" customWidth="1" min="6" max="6"/>
    <col width="60" customWidth="1" min="7" max="7"/>
    <col width="13" customWidth="1" min="8" max="8"/>
    <col width="20" customWidth="1" min="9" max="9"/>
    <col width="42" customWidth="1" min="10" max="10"/>
    <col width="52" customWidth="1" min="11" max="11"/>
    <col width="16" customWidth="1" min="12" max="12"/>
    <col width="18" customWidth="1" min="13" max="13"/>
    <col width="14" customWidth="1" min="14" max="14"/>
    <col width="13" customWidth="1" min="15" max="15"/>
    <col width="34" customWidth="1" min="16" max="16"/>
    <col width="13" customWidth="1" min="17" max="17"/>
    <col width="20" customWidth="1" min="18" max="18"/>
    <col width="16" customWidth="1" min="19" max="19"/>
    <col width="13" customWidth="1" min="20" max="20"/>
  </cols>
  <sheetData>
    <row r="1" ht="43" customHeight="1">
      <c r="A1" s="1" t="inlineStr">
        <is>
          <t>ID</t>
        </is>
      </c>
      <c r="B1" s="1" t="inlineStr">
        <is>
          <t>Module</t>
        </is>
      </c>
      <c r="C1" s="1" t="inlineStr">
        <is>
          <t>Priority</t>
        </is>
      </c>
      <c r="D1" s="1" t="inlineStr">
        <is>
          <t>Short title</t>
        </is>
      </c>
      <c r="E1" s="1" t="inlineStr">
        <is>
          <t>Baseline title</t>
        </is>
      </c>
      <c r="F1" s="1" t="inlineStr">
        <is>
          <t>Requirement (baseline statement)</t>
        </is>
      </c>
      <c r="G1" s="1" t="inlineStr">
        <is>
          <t>What satisfies it</t>
        </is>
      </c>
      <c r="H1" s="1" t="inlineStr">
        <is>
          <t>Class</t>
        </is>
      </c>
      <c r="I1" s="1" t="inlineStr">
        <is>
          <t>Class meaning</t>
        </is>
      </c>
      <c r="J1" s="1" t="inlineStr">
        <is>
          <t>Demo data / workflow</t>
        </is>
      </c>
      <c r="K1" s="1" t="inlineStr">
        <is>
          <t>Test(s)</t>
        </is>
      </c>
      <c r="L1" s="1" t="inlineStr">
        <is>
          <t>Result</t>
        </is>
      </c>
      <c r="M1" s="1" t="inlineStr">
        <is>
          <t>Result as measured</t>
        </is>
      </c>
      <c r="N1" s="1" t="inlineStr">
        <is>
          <t>Test evidence</t>
        </is>
      </c>
      <c r="O1" s="1" t="inlineStr">
        <is>
          <t>Cited test methods (est.)</t>
        </is>
      </c>
      <c r="P1" s="1" t="inlineStr">
        <is>
          <t>Planned satisfaction (baseline)</t>
        </is>
      </c>
      <c r="Q1" s="1" t="inlineStr">
        <is>
          <t>Δ decision</t>
        </is>
      </c>
      <c r="R1" s="1" t="inlineStr">
        <is>
          <t>Gap sections citing it</t>
        </is>
      </c>
      <c r="S1" s="1" t="inlineStr">
        <is>
          <t>Epics tracing it</t>
        </is>
      </c>
      <c r="T1" s="1" t="inlineStr">
        <is>
          <t>Stories tracing it</t>
        </is>
      </c>
    </row>
    <row r="2" ht="43" customHeight="1">
      <c r="A2" s="2" t="inlineStr">
        <is>
          <t>E-1</t>
        </is>
      </c>
      <c r="B2" s="3" t="inlineStr">
        <is>
          <t>ESC</t>
        </is>
      </c>
      <c r="C2" s="2" t="inlineStr">
        <is>
          <t>Mandatory</t>
        </is>
      </c>
      <c r="D2" s="3" t="inlineStr">
        <is>
          <t>Escalation repository with RBAC</t>
        </is>
      </c>
      <c r="E2" s="3" t="inlineStr">
        <is>
          <t>Escalation Repository</t>
        </is>
      </c>
      <c r="F2" s="3" t="inlineStr">
        <is>
          <t>The system shall provide a centralized, searchable repository of escalation matters and their metadata, with access, visibility and permitted actions governed by role-based access control.</t>
        </is>
      </c>
      <c r="G2" s="3" t="inlineStr">
        <is>
          <t>Escalation Matter with role permissions and the sensitivity hooks; register /escalations, detail /escalation, created on /raise-escalation (templates.raise_escalation) or the desk.</t>
        </is>
      </c>
      <c r="H2" s="2" t="inlineStr">
        <is>
          <t>a</t>
        </is>
      </c>
      <c r="I2" s="3" t="inlineStr">
        <is>
          <t>(a) Portal screen</t>
        </is>
      </c>
      <c r="J2" s="3" t="inlineStr">
        <is>
          <t>15 matters ESC-2026-00001 … 00015 across all six states.</t>
        </is>
      </c>
      <c r="K2" s="3" t="inlineStr">
        <is>
          <t>escalation.tests.test_entities.TestEscalationMatter (all 8), escalation.tests.test_entities.TestModuleShape (all 3), escalation.tests.test_portal_actions.TestRaise (all 6)</t>
        </is>
      </c>
      <c r="L2" s="3" t="inlineStr">
        <is>
          <t>Pass</t>
        </is>
      </c>
      <c r="M2" s="3" t="inlineStr">
        <is>
          <t>✅</t>
        </is>
      </c>
      <c r="N2" s="3" t="inlineStr">
        <is>
          <t>Direct test</t>
        </is>
      </c>
      <c r="O2" s="2" t="n">
        <v>20</v>
      </c>
      <c r="P2" s="3" t="inlineStr">
        <is>
          <t>Config — Escalation Matter DocType plus permission rules.</t>
        </is>
      </c>
      <c r="Q2" s="2" t="inlineStr"/>
      <c r="R2" s="3" t="inlineStr"/>
      <c r="S2" s="3" t="inlineStr">
        <is>
          <t>E16</t>
        </is>
      </c>
      <c r="T2" s="2" t="n">
        <v>4</v>
      </c>
    </row>
    <row r="3" ht="134" customHeight="1">
      <c r="A3" s="2" t="inlineStr">
        <is>
          <t>E-2</t>
        </is>
      </c>
      <c r="B3" s="3" t="inlineStr">
        <is>
          <t>ESC</t>
        </is>
      </c>
      <c r="C3" s="2" t="inlineStr">
        <is>
          <t>Mandatory</t>
        </is>
      </c>
      <c r="D3" s="3" t="inlineStr">
        <is>
          <t>Advanced search and filter</t>
        </is>
      </c>
      <c r="E3" s="3" t="inlineStr">
        <is>
          <t>Search and Retrieval</t>
        </is>
      </c>
      <c r="F3" s="3" t="inlineStr">
        <is>
          <t>The system shall provide advanced search and filtering of escalation matters by metadata.</t>
        </is>
      </c>
      <c r="G3" s="3" t="inlineStr">
        <is>
          <t>/escalations: filters on standing, age band, severity, status, type, level; free-text search on title, reference, trigger; sortable columns incl. risk types and accountable executive; filters kept in the address; search also taken from ?q=; rows read over REST so sensitive rows are excluded; Export CSV. The header's global search finds a matter by reference, title or external reference from any page, sensitive matters only for the cleared.</t>
        </is>
      </c>
      <c r="H3" s="2" t="inlineStr">
        <is>
          <t>a</t>
        </is>
      </c>
      <c r="I3" s="3" t="inlineStr">
        <is>
          <t>(a) Portal screen</t>
        </is>
      </c>
      <c r="J3" s="3" t="inlineStr">
        <is>
          <t>/escalations?standing=all&amp;severity=High lists ESC-2026-00001, 00003, 00004, 00007, 00009, 00014, 00015 (00003 and 00004 only to cleared readers).</t>
        </is>
      </c>
      <c r="K3" s="3" t="inlineStr">
        <is>
          <t>consilium_core.tests.test_global_search.TestGlobalSearch (all 9), including …test_a_sensitive_matter_reaches_only_the_cleared and …test_a_reference_finds_the_record_but_not_a_hidden_one; scripts/browser_journeys.py journeys escalation-filters and global-search (11/11 pass); escalation.tests.test_sensitivity.TestSensitiveMatters.test_the_api_list_hides_a_sensitive_matter, …test_a_filtered_api_read_cannot_be_used_to_confirm_existence; page render consilium_core.tests.test_portal_pages.TestAdministrator.test_every_page_renders_with_its_key_sections</t>
        </is>
      </c>
      <c r="L3" s="3" t="inlineStr">
        <is>
          <t>Pass</t>
        </is>
      </c>
      <c r="M3" s="3" t="inlineStr">
        <is>
          <t>✅</t>
        </is>
      </c>
      <c r="N3" s="3" t="inlineStr">
        <is>
          <t>Direct test</t>
        </is>
      </c>
      <c r="O3" s="2" t="n">
        <v>17</v>
      </c>
      <c r="P3" s="3" t="inlineStr">
        <is>
          <t>Config + Build — as G-2.</t>
        </is>
      </c>
      <c r="Q3" s="2" t="inlineStr">
        <is>
          <t>Δ</t>
        </is>
      </c>
      <c r="R3" s="3" t="inlineStr"/>
      <c r="S3" s="3" t="inlineStr">
        <is>
          <t>E16, E35</t>
        </is>
      </c>
      <c r="T3" s="2" t="n">
        <v>9</v>
      </c>
    </row>
    <row r="4" ht="108" customHeight="1">
      <c r="A4" s="2" t="inlineStr">
        <is>
          <t>E-3</t>
        </is>
      </c>
      <c r="B4" s="3" t="inlineStr">
        <is>
          <t>ESC</t>
        </is>
      </c>
      <c r="C4" s="2" t="inlineStr">
        <is>
          <t>Mandatory</t>
        </is>
      </c>
      <c r="D4" s="3" t="inlineStr">
        <is>
          <t>Tagging: named attributes, tiered risk types, plural impacted entities</t>
        </is>
      </c>
      <c r="E4" s="3" t="inlineStr">
        <is>
          <t>Escalation Tagging</t>
        </is>
      </c>
      <c r="F4" s="3" t="inlineStr">
        <is>
          <t>The system shall allow escalation matters to be tagged with controlled metadata, with field dependencies, drawn from the same taxonomies used elsewhere in the platform and controlled by dropdown selection. Named attributes: escalation title, escalation identifier, escalation type, identification date, matter description, tier-1 risk type, tier-2 risk type where applicable, impacted entity, the person who identified the matter, the organisational level of the escalation, and the accountable executive.</t>
        </is>
      </c>
      <c r="G4" s="3" t="inlineStr">
        <is>
          <t>All named fields; tier-1 and tier-2 from one tiered Risk Type taxonomy; Escalation Impacted Entity child table; captured on /raise-escalation (options from intake_options, retired values not offered) and shown on /escalation.</t>
        </is>
      </c>
      <c r="H4" s="2" t="inlineStr">
        <is>
          <t>a</t>
        </is>
      </c>
      <c r="I4" s="3" t="inlineStr">
        <is>
          <t>(a) Portal screen</t>
        </is>
      </c>
      <c r="J4" s="3" t="inlineStr">
        <is>
          <t>ESC-2026-00007 (LIMIT_BREACH): impacted Line of Business PCB and Material Entity ME_BANK.</t>
        </is>
      </c>
      <c r="K4" s="3" t="inlineStr">
        <is>
          <t>escalation.tests.test_entities.TestEscalationMatter.test_identification_and_escalation_dates_are_separate_fields, …test_forums_and_impacted_entities_are_plural, …test_an_unknown_impacted_entity_kind_is_refused; escalation.tests.test_assignment_and_timing.TestRetiredValuesAreNotOffered (all 1); consilium_core.tests.test_taxonomy.TestActiveOnlySearch (all 6)</t>
        </is>
      </c>
      <c r="L4" s="3" t="inlineStr">
        <is>
          <t>Pass</t>
        </is>
      </c>
      <c r="M4" s="3" t="inlineStr">
        <is>
          <t>✅</t>
        </is>
      </c>
      <c r="N4" s="3" t="inlineStr">
        <is>
          <t>Direct test</t>
        </is>
      </c>
      <c r="O4" s="2" t="n">
        <v>13</v>
      </c>
      <c r="P4" s="3" t="inlineStr">
        <is>
          <t>Config — Link and child-table fields against Core taxonomies.</t>
        </is>
      </c>
      <c r="Q4" s="2" t="inlineStr"/>
      <c r="R4" s="3" t="inlineStr"/>
      <c r="S4" s="3" t="inlineStr">
        <is>
          <t>E3, E16</t>
        </is>
      </c>
      <c r="T4" s="2" t="n">
        <v>9</v>
      </c>
    </row>
    <row r="5" ht="56" customHeight="1">
      <c r="A5" s="2" t="inlineStr">
        <is>
          <t>E-4</t>
        </is>
      </c>
      <c r="B5" s="3" t="inlineStr">
        <is>
          <t>ESC</t>
        </is>
      </c>
      <c r="C5" s="2" t="inlineStr">
        <is>
          <t>Mandatory</t>
        </is>
      </c>
      <c r="D5" s="3" t="inlineStr">
        <is>
          <t>Triggers from approved matrices; High, Medium or Low severity drives routing</t>
        </is>
      </c>
      <c r="E5" s="3" t="inlineStr">
        <is>
          <t>Escalation Triggers</t>
        </is>
      </c>
      <c r="F5" s="3" t="inlineStr">
        <is>
          <t>The system shall support predefined escalation triggers, including adverse events and risk appetite breaches, as defined in approved escalation matrices. Trigger severity — High, Medium, Low — shall determine routing and escalation pathway.</t>
        </is>
      </c>
      <c r="G5" s="3" t="inlineStr">
        <is>
          <t>Escalation Matrix + Escalation Matrix Rule (condition, resulting severity, forums, queue, SLA) on desk; routing.apply_routing on save records the rule; raise_escalation lets the matrix set severity or records a manual override; shown on /escalation.</t>
        </is>
      </c>
      <c r="H5" s="2" t="inlineStr">
        <is>
          <t>a</t>
        </is>
      </c>
      <c r="I5" s="3" t="inlineStr">
        <is>
          <t>(a) Portal screen</t>
        </is>
      </c>
      <c r="J5" s="3" t="inlineStr">
        <is>
          <t>Matrix ENTERPRISE-ESC, 13 rules R05-SYSTEMIC … R99-DEFAULT; ESC-2026-00007 matched R10-APPETITE (High, source Matrix); ESC-2026-00003 Manual Override.</t>
        </is>
      </c>
      <c r="K5" s="3" t="inlineStr">
        <is>
          <t>escalation.tests.test_routing.TestRouting (all 12); escalation.tests.test_portal_actions.TestRaise.test_the_matrix_sets_the_severity_when_none_is_chosen, …test_a_chosen_severity_is_recorded_as_an_override</t>
        </is>
      </c>
      <c r="L5" s="3" t="inlineStr">
        <is>
          <t>Pass</t>
        </is>
      </c>
      <c r="M5" s="3" t="inlineStr">
        <is>
          <t>✅</t>
        </is>
      </c>
      <c r="N5" s="3" t="inlineStr">
        <is>
          <t>Direct test</t>
        </is>
      </c>
      <c r="O5" s="2" t="n">
        <v>16</v>
      </c>
      <c r="P5" s="3" t="inlineStr">
        <is>
          <t>Config + Build — Escalation Matrix and its rule rows; build for the rule-resolution at intake.</t>
        </is>
      </c>
      <c r="Q5" s="2" t="inlineStr"/>
      <c r="R5" s="3" t="inlineStr"/>
      <c r="S5" s="3" t="inlineStr">
        <is>
          <t>E16</t>
        </is>
      </c>
      <c r="T5" s="2" t="n">
        <v>4</v>
      </c>
    </row>
    <row r="6" ht="95" customHeight="1">
      <c r="A6" s="2" t="inlineStr">
        <is>
          <t>E-5</t>
        </is>
      </c>
      <c r="B6" s="3" t="inlineStr">
        <is>
          <t>ESC</t>
        </is>
      </c>
      <c r="C6" s="2" t="inlineStr">
        <is>
          <t>Mandatory</t>
        </is>
      </c>
      <c r="D6" s="3" t="inlineStr">
        <is>
          <t>Required fields enforced by type and severity; route submission to others for detail and approvals</t>
        </is>
      </c>
      <c r="E6" s="3" t="inlineStr">
        <is>
          <t>Logging and Submission</t>
        </is>
      </c>
      <c r="F6" s="3" t="inlineStr">
        <is>
          <t>The system shall enforce required data fields at intake while allowing optional fields to vary by escalation type and severity, and shall support routing an initial submission to further individuals through configurable workflow to gather additional detail and obtain approvals.</t>
        </is>
      </c>
      <c r="G6" s="3" t="inlineStr">
        <is>
          <t>Template-driven required fields by type and severity, enforced on save and offered on /raise-escalation (template_requirements). Routing to others: the matrix rule's role or group queue (assignment.apply_assignment), queue notice, Take ownership (assignment.take_ownership); send for second-line review (move_matter_status) and review rounds; risk-acceptance approval request to a named approver. All on /escalation.</t>
        </is>
      </c>
      <c r="H6" s="2" t="inlineStr">
        <is>
          <t>a</t>
        </is>
      </c>
      <c r="I6" s="3" t="inlineStr">
        <is>
          <t>(a) Portal screen</t>
        </is>
      </c>
      <c r="J6" s="3" t="inlineStr">
        <is>
          <t>ESC-2026-00012 waiting in group queue Risk Management Function (R75-PROCESS); ESC-2026-00013 taken from Technology and Operations Leadership; templates ESC-INCIDENT, ESC-REGULATORY, ESC-LIMIT.</t>
        </is>
      </c>
      <c r="K6" s="3" t="inlineStr">
        <is>
          <t>escalation.tests.test_templates.TestTemplates (all 8); escalation.tests.test_assignment_and_timing.TestAssignmentByGroup (all 10), TestAssignmentByRole (all 1); escalation.tests.test_portal_actions.TestRaise.test_the_escalation_template_is_enforced, TestStatus (all 4)</t>
        </is>
      </c>
      <c r="L6" s="3" t="inlineStr">
        <is>
          <t>Pass</t>
        </is>
      </c>
      <c r="M6" s="3" t="inlineStr">
        <is>
          <t>✅</t>
        </is>
      </c>
      <c r="N6" s="3" t="inlineStr">
        <is>
          <t>Direct test</t>
        </is>
      </c>
      <c r="O6" s="2" t="n">
        <v>27</v>
      </c>
      <c r="P6" s="3" t="inlineStr">
        <is>
          <t>Config + Build — conditional mandatory-field metadata driven by the selected template; workflow routing.</t>
        </is>
      </c>
      <c r="Q6" s="2" t="inlineStr"/>
      <c r="R6" s="3" t="inlineStr"/>
      <c r="S6" s="3" t="inlineStr">
        <is>
          <t>E16, E27, E33</t>
        </is>
      </c>
      <c r="T6" s="2" t="n">
        <v>17</v>
      </c>
    </row>
    <row r="7" ht="147" customHeight="1">
      <c r="A7" s="2" t="inlineStr">
        <is>
          <t>E-6</t>
        </is>
      </c>
      <c r="B7" s="3" t="inlineStr">
        <is>
          <t>ESC</t>
        </is>
      </c>
      <c r="C7" s="2" t="inlineStr">
        <is>
          <t>Mandatory</t>
        </is>
      </c>
      <c r="D7" s="3" t="inlineStr">
        <is>
          <t>Three templates (escalation, action plan, risk acceptance), shared standard fields, plural forums</t>
        </is>
      </c>
      <c r="E7" s="3" t="inlineStr">
        <is>
          <t>Configurable Templates</t>
        </is>
      </c>
      <c r="F7" s="3" t="inlineStr">
        <is>
          <t>The system shall allow templates to be configured per escalation matter type, with standardized required fields shared across templates. Three templates are specified: the escalation template (identifier, title, type, identification date, tier-1 risk type, accountable executive, governance forum(s), impacted entities, status, trigger, escalation date); the action plan template (escalation identifier, name, start date, end date, accountable executive, owner, status, governance forum(s)); and the risk acceptance template (escalation identifier, name, external risk acceptance identifier where available, start date, end date, accountable executive, status, governance forum(s), rationale).</t>
        </is>
      </c>
      <c r="G7" s="3" t="inlineStr">
        <is>
          <t>Escalation Template in three scopes with a shared field set; Action Plan and Risk Acceptance apply their own template; both added from /escalation (add_action_plan, add_risk_acceptance) or desk.</t>
        </is>
      </c>
      <c r="H7" s="2" t="inlineStr">
        <is>
          <t>a</t>
        </is>
      </c>
      <c r="I7" s="3" t="inlineStr">
        <is>
          <t>(a) Portal screen</t>
        </is>
      </c>
      <c r="J7" s="3" t="inlineStr">
        <is>
          <t>ESC-INCIDENT, AP-INCIDENT, RA-LIMIT; ESC-2026-00001 with ACTP-00001, ACTP-00002 and RACC-00001.</t>
        </is>
      </c>
      <c r="K7" s="3" t="inlineStr">
        <is>
          <t>escalation.tests.test_templates.TestTemplates (all 8); escalation.tests.test_entities.TestActionPlan (all 2); escalation.tests.test_portal_actions.TestActionPlans (all 4)</t>
        </is>
      </c>
      <c r="L7" s="3" t="inlineStr">
        <is>
          <t>Pass</t>
        </is>
      </c>
      <c r="M7" s="3" t="inlineStr">
        <is>
          <t>✅</t>
        </is>
      </c>
      <c r="N7" s="3" t="inlineStr">
        <is>
          <t>Direct test</t>
        </is>
      </c>
      <c r="O7" s="2" t="n">
        <v>17</v>
      </c>
      <c r="P7" s="3" t="inlineStr">
        <is>
          <t>Config + Build — Escalation Template with a field-set child table driving required-field behaviour; Action Plan and Risk Acceptance DocTypes.</t>
        </is>
      </c>
      <c r="Q7" s="2" t="inlineStr"/>
      <c r="R7" s="3" t="inlineStr"/>
      <c r="S7" s="3" t="inlineStr">
        <is>
          <t>E16</t>
        </is>
      </c>
      <c r="T7" s="2" t="n">
        <v>4</v>
      </c>
    </row>
    <row r="8" ht="82" customHeight="1">
      <c r="A8" s="2" t="inlineStr">
        <is>
          <t>E-7</t>
        </is>
      </c>
      <c r="B8" s="3" t="inlineStr">
        <is>
          <t>ESC</t>
        </is>
      </c>
      <c r="C8" s="2" t="inlineStr">
        <is>
          <t>Mandatory</t>
        </is>
      </c>
      <c r="D8" s="3" t="inlineStr">
        <is>
          <t>Select forums as the pathway; pull participants (Committee Secretary and others) to notify them</t>
        </is>
      </c>
      <c r="E8" s="3" t="inlineStr">
        <is>
          <t>Escalation Pathway Mapping</t>
        </is>
      </c>
      <c r="F8" s="3" t="inlineStr">
        <is>
          <t>The system shall allow one or more governance forums to be selected as the escalation pathway, drawn from the forum inventory, and shall pull forum participant details — Committee Secretary and others — in order to notify them.</t>
        </is>
      </c>
      <c r="G8" s="3" t="inlineStr">
        <is>
          <t>Escalation Forum Link (active forums only), proposed by the matrix, changed on /escalation (routing.set_pathway; a matrix-routed forum cannot be removed). routing.forum_participants resolves chair, secretary and attesting seats (and live delegates) from Forum Membership as at today; breach and material-entity notices reach them and stamp notified_on; "Who a notice reaches" on /escalation.</t>
        </is>
      </c>
      <c r="H8" s="2" t="inlineStr">
        <is>
          <t>a</t>
        </is>
      </c>
      <c r="I8" s="3" t="inlineStr">
        <is>
          <t>(a) Portal screen</t>
        </is>
      </c>
      <c r="J8" s="3" t="inlineStr">
        <is>
          <t>ESC-2026-00007 pathway FRM-2026-00002 and FRM-2026-00005, notified (R10-APPETITE); ESC-2026-00009 and ESC-2026-00001 notified (R20-MATERIAL).</t>
        </is>
      </c>
      <c r="K8" s="3" t="inlineStr">
        <is>
          <t>escalation.tests.test_participants.TestPathwayParticipants (all 5); escalation.tests.test_portal_actions.TestPathway (all 4); escalation.tests.test_routing.TestRouting.test_an_inactive_forum_cannot_be_a_destination</t>
        </is>
      </c>
      <c r="L8" s="3" t="inlineStr">
        <is>
          <t>Pass</t>
        </is>
      </c>
      <c r="M8" s="3" t="inlineStr">
        <is>
          <t>✅</t>
        </is>
      </c>
      <c r="N8" s="3" t="inlineStr">
        <is>
          <t>Direct test</t>
        </is>
      </c>
      <c r="O8" s="2" t="n">
        <v>13</v>
      </c>
      <c r="P8" s="3" t="inlineStr">
        <is>
          <t>Config + Build — child table of Links to Governance Forum; build for participant resolution through the membership records and the notification fan-out.</t>
        </is>
      </c>
      <c r="Q8" s="2" t="inlineStr">
        <is>
          <t>Δ</t>
        </is>
      </c>
      <c r="R8" s="3" t="inlineStr"/>
      <c r="S8" s="3" t="inlineStr">
        <is>
          <t>E9, E17, E29</t>
        </is>
      </c>
      <c r="T8" s="2" t="n">
        <v>13</v>
      </c>
    </row>
    <row r="9" ht="134" customHeight="1">
      <c r="A9" s="2" t="inlineStr">
        <is>
          <t>E-8</t>
        </is>
      </c>
      <c r="B9" s="3" t="inlineStr">
        <is>
          <t>ESC</t>
        </is>
      </c>
      <c r="C9" s="2" t="inlineStr">
        <is>
          <t>Mandatory</t>
        </is>
      </c>
      <c r="D9" s="3" t="inlineStr">
        <is>
          <t>Automated workflow: role and group assignment, closure docs, matrix routing, material-entity notice to forum, risk-appetite breach path</t>
        </is>
      </c>
      <c r="E9" s="3" t="inlineStr">
        <is>
          <t>Configurable Automated Workflow</t>
        </is>
      </c>
      <c r="F9" s="3" t="inlineStr">
        <is>
          <t>The system shall automate logging, review, actioning and resolution of escalation matters, including: assignment of users by role and group; attachment and approval of closure documents; workflows, pathways and roles configurable by matter type and severity; storage and reference of escalation matrices for automated routing; automatic notification of the relevant governance forum when a material-entity impact flag is set; and, where the matter is triggered by a risk appetite breach, the ability to flag the breach and follow the breach workflow. Configuration shall require no custom development.</t>
        </is>
      </c>
      <c r="G9" s="3" t="inlineStr">
        <is>
          <t>Assignment by role or group from the matrix rule with Take ownership; closure record with criteria and approval stamp (record_matter_closure, close_matter); matrix routing; material-entity notice to pathway forum participants (notify_material_entity_impact); breach flag and path (R10-APPETITE, breach raises severity). Pathways, roles, queues, service levels and required fields are configuration per type and severity. Missing: the workflow itself is not configurable by type and severity: there is no Workflow on Escalation Matter, and move_matter_status lets the stage's role move between any two open states for every type and severity.</t>
        </is>
      </c>
      <c r="H9" s="2" t="inlineStr">
        <is>
          <t>d</t>
        </is>
      </c>
      <c r="I9" s="3" t="inlineStr">
        <is>
          <t>(d) Not implemented (whole or mandatory part)</t>
        </is>
      </c>
      <c r="J9" s="3" t="inlineStr">
        <is>
          <t>ESC-2026-00007 risk-appetite breach, auto-escalated, breach_count 1; ESC-2026-00009 material-entity impact notified; ESCC-00001 … 00004 closures.</t>
        </is>
      </c>
      <c r="K9" s="3" t="inlineStr">
        <is>
          <t>escalation.tests.test_assignment_and_timing.TestAssignmentByGroup (all 10), TestAssignmentByRole (all 1); escalation.tests.test_participants.TestPathwayParticipants.test_material_entity_impact_notifies_them_and_stamps_the_forum; escalation.tests.test_resolution.TestSecondLineChallenge.test_material_entity_impact_notifies; escalation.tests.test_routing.TestRouting (all 12)</t>
        </is>
      </c>
      <c r="L9" s="3" t="inlineStr">
        <is>
          <t>Pass (qualified)</t>
        </is>
      </c>
      <c r="M9" s="3" t="inlineStr">
        <is>
          <t>✅ (what exists)</t>
        </is>
      </c>
      <c r="N9" s="3" t="inlineStr">
        <is>
          <t>Direct test</t>
        </is>
      </c>
      <c r="O9" s="2" t="n">
        <v>29</v>
      </c>
      <c r="P9" s="3" t="inlineStr">
        <is>
          <t>Config + Build — workflow configuration; build for matrix-driven routing and the two conditional notification paths.</t>
        </is>
      </c>
      <c r="Q9" s="2" t="inlineStr">
        <is>
          <t>Δ</t>
        </is>
      </c>
      <c r="R9" s="3" t="inlineStr">
        <is>
          <t>Class (d), No direct test</t>
        </is>
      </c>
      <c r="S9" s="3" t="inlineStr">
        <is>
          <t>E17, E27, E33</t>
        </is>
      </c>
      <c r="T9" s="2" t="n">
        <v>17</v>
      </c>
    </row>
    <row r="10" ht="212" customHeight="1">
      <c r="A10" s="2" t="inlineStr">
        <is>
          <t>E-9</t>
        </is>
      </c>
      <c r="B10" s="3" t="inlineStr">
        <is>
          <t>ESC</t>
        </is>
      </c>
      <c r="C10" s="2" t="inlineStr">
        <is>
          <t>Mandatory</t>
        </is>
      </c>
      <c r="D10" s="3" t="inlineStr">
        <is>
          <t>Review and challenge with SLA; approvals; periodic reassessment of risk acceptance; delegation; sensitive restriction; systemic escalation to Head of Enterprise Risk; mandatory response template</t>
        </is>
      </c>
      <c r="E10" s="3" t="inlineStr">
        <is>
          <t>Configurable Review and Approval Workflow</t>
        </is>
      </c>
      <c r="F10" s="3" t="inlineStr">
        <is>
          <t>The system shall support a structured, role-based review and approval process. Review and challenge: multi-step review by role and severity, including configurable second-line-of-defence challenge with service levels before escalation to accountable executives or governance forums, with review actions, comments and outcomes retained in the audit trail. Approval and accountability: configurable sequential or parallel approvals aligned to type, severity and organisational hierarchy; risk acceptance workflows with documented approvals and periodic reassessment; accountability tracked by role with timestamps and decision records. Pathways and exceptions: configurable pathways aligned to governance forum structures and organisational hierarchy; delegation of routing responsibility where permitted; exception handling; restricted access for sensitive escalations; escalation to the Head of Enterprise Risk for systemic issues. Completion of the escalation response template is mandatory for all escalations, including those tracked in an external system.</t>
        </is>
      </c>
      <c r="G10" s="3" t="inlineStr">
        <is>
          <t>Review rounds from /escalation (record_review_round, independent of the accountable people); second-line challenge clock (Time In State on requires_review, scoped {"systemic": 1}) stamped on the round; systemic route (matrix rule on systemic to a higher role and forums); risk-acceptance approval by an independent named approver or a forum motion, with delegation through Authority Delegation; reassessment and expiry reminders (reminders.remind_risk_acceptances, daily); sensitive restriction; response-template gate on closure. Missing: configurable sequential or parallel approvals aligned to type, severity and hierarchy: an acceptance takes one named approver (a second request is refused), and nothing configures an approval chain for escalations.</t>
        </is>
      </c>
      <c r="H10" s="2" t="inlineStr">
        <is>
          <t>d</t>
        </is>
      </c>
      <c r="I10" s="3" t="inlineStr">
        <is>
          <t>(d) Not implemented (whole or mandatory part)</t>
        </is>
      </c>
      <c r="J10" s="3" t="inlineStr">
        <is>
          <t>ESC-2026-00015 systemic (R05-SYSTEMIC, role Head of Risk Governance), review round 1 Challenged against SLAC-00020 (ESC-CHALLENGE-SYSTEMIC, 40 h); RACC-00006 and RACC-00002 Pending Approval; RACC-00004 Approved by decision; RACC-00003 Approved by motion FMOT-2026-00021; RACC-00001 Expired; ADEL-00001 delegation over Risk Acceptance.</t>
        </is>
      </c>
      <c r="K10" s="3" t="inlineStr">
        <is>
          <t>escalation.tests.test_assignment_and_timing.TestSystemicRoute (all 2), TestChallengeServiceLevel (all 3); escalation.tests.test_portal_actions.TestReviewRounds (all 5), TestRiskAcceptanceApproval (all 9); escalation.tests.test_resolution.TestRiskAcceptanceApproval (all 5), TestStatesAndClosure.test_closing_without_the_response_template_is_refused; consilium_core.tests.test_reminders.TestEscalationReminders (all 6); consilium_core.tests.test_services.TestApprovals.test_a_delegate_decides_under_a_recorded_delegation</t>
        </is>
      </c>
      <c r="L10" s="3" t="inlineStr">
        <is>
          <t>Pass (qualified)</t>
        </is>
      </c>
      <c r="M10" s="3" t="inlineStr">
        <is>
          <t>✅ (what exists)</t>
        </is>
      </c>
      <c r="N10" s="3" t="inlineStr">
        <is>
          <t>Direct test</t>
        </is>
      </c>
      <c r="O10" s="2" t="n">
        <v>37</v>
      </c>
      <c r="P10" s="3" t="inlineStr">
        <is>
          <t>Config + Build — workflow configuration; build for the challenge service level, the reassessment scheduler and the mandatory-response gate.</t>
        </is>
      </c>
      <c r="Q10" s="2" t="inlineStr"/>
      <c r="R10" s="3" t="inlineStr">
        <is>
          <t>Class (d), No direct test</t>
        </is>
      </c>
      <c r="S10" s="3" t="inlineStr">
        <is>
          <t>E17, E29, E33</t>
        </is>
      </c>
      <c r="T10" s="2" t="n">
        <v>8</v>
      </c>
    </row>
    <row r="11" ht="56" customHeight="1">
      <c r="A11" s="2" t="inlineStr">
        <is>
          <t>E-10</t>
        </is>
      </c>
      <c r="B11" s="3" t="inlineStr">
        <is>
          <t>ESC</t>
        </is>
      </c>
      <c r="C11" s="2" t="inlineStr">
        <is>
          <t>Mandatory</t>
        </is>
      </c>
      <c r="D11" s="3" t="inlineStr">
        <is>
          <t>Enforce closure criteria; auditable closure evidence</t>
        </is>
      </c>
      <c r="E11" s="3" t="inlineStr">
        <is>
          <t>Closure Criteria</t>
        </is>
      </c>
      <c r="F11" s="3" t="inlineStr">
        <is>
          <t>The system shall enforce defined closure criteria and maintain auditable evidence of closure.</t>
        </is>
      </c>
      <c r="G11" s="3" t="inlineStr">
        <is>
          <t>Escalation Closure + Closure Criterion; gate on required criteria and on external reference for a transfer; recorded and closed from /escalation (record_matter_closure, close_matter, confirmation before closing); closer stamped as approver.</t>
        </is>
      </c>
      <c r="H11" s="2" t="inlineStr">
        <is>
          <t>a</t>
        </is>
      </c>
      <c r="I11" s="3" t="inlineStr">
        <is>
          <t>(a) Portal screen</t>
        </is>
      </c>
      <c r="J11" s="3" t="inlineStr">
        <is>
          <t>ESCC-00003 ESC-2026-00006 Transferred Externally (EXTR-00005); ESCC-00004 ESC-2026-00011 Risk Accepted.</t>
        </is>
      </c>
      <c r="K11" s="3" t="inlineStr">
        <is>
          <t>escalation.tests.test_resolution.TestStatesAndClosure (all 7); escalation.tests.test_portal_actions.TestClosure (all 5)</t>
        </is>
      </c>
      <c r="L11" s="3" t="inlineStr">
        <is>
          <t>Pass</t>
        </is>
      </c>
      <c r="M11" s="3" t="inlineStr">
        <is>
          <t>✅</t>
        </is>
      </c>
      <c r="N11" s="3" t="inlineStr">
        <is>
          <t>Direct test</t>
        </is>
      </c>
      <c r="O11" s="2" t="n">
        <v>14</v>
      </c>
      <c r="P11" s="3" t="inlineStr">
        <is>
          <t>Config + Build — Escalation Closure record with evidence attachments; build for the closure gate.</t>
        </is>
      </c>
      <c r="Q11" s="2" t="inlineStr"/>
      <c r="R11" s="3" t="inlineStr"/>
      <c r="S11" s="3" t="inlineStr">
        <is>
          <t>E17, E27</t>
        </is>
      </c>
      <c r="T11" s="2" t="n">
        <v>16</v>
      </c>
    </row>
    <row r="12" ht="82" customHeight="1">
      <c r="A12" s="2" t="inlineStr">
        <is>
          <t>E-11</t>
        </is>
      </c>
      <c r="B12" s="3" t="inlineStr">
        <is>
          <t>ESC</t>
        </is>
      </c>
      <c r="C12" s="2" t="inlineStr">
        <is>
          <t>Mandatory</t>
        </is>
      </c>
      <c r="D12" s="3" t="inlineStr">
        <is>
          <t>Generated periodic reports; quarterly tracking; automated reminders; nil-return workflow</t>
        </is>
      </c>
      <c r="E12" s="3" t="inlineStr">
        <is>
          <t>Periodic Submission and Tracking</t>
        </is>
      </c>
      <c r="F12" s="3" t="inlineStr">
        <is>
          <t>The system shall generate reports directly, replacing manual periodic submissions, and shall support automated quarterly tracking and reporting, including automated reminders and a "no activity" confirmation workflow.</t>
        </is>
      </c>
      <c r="G12" s="3" t="inlineStr">
        <is>
          <t>Periodic Submission with the nil-return rule (desk); daily reminders.open_quarter creates the quarter's return once and tells its owner; remind_periodic_returns due and overdue; quarterly analysis and CSV on /reports (analysis.summary, analysis.export, period Quarter). Submission is a desk action by design (trace: CS-5, DK-5, BG).</t>
        </is>
      </c>
      <c r="H12" s="2" t="inlineStr">
        <is>
          <t>b</t>
        </is>
      </c>
      <c r="I12" s="3" t="inlineStr">
        <is>
          <t>(b) Desk / config / job by design</t>
        </is>
      </c>
      <c r="J12" s="3" t="inlineStr">
        <is>
          <t>ESPS-00001 2025-Q4 and ESPS-00002 2026-Q1 Accepted; ESPS-00003 2026-Q2 Submitted; ESPS-00004 2026-Q3 Draft (6 matters).</t>
        </is>
      </c>
      <c r="K12" s="3" t="inlineStr">
        <is>
          <t>escalation.tests.test_entities.TestPeriodicSubmission.test_a_period_with_no_matters_must_be_a_nil_return; consilium_core.tests.test_reminders.TestEscalationReminders.test_a_quarter_opening_creates_its_return_once_and_tells_its_owner, …test_quarter_boundaries; escalation.tests.test_analysis.TestAnalysis.test_the_summary_is_exportable_as_csv</t>
        </is>
      </c>
      <c r="L12" s="3" t="inlineStr">
        <is>
          <t>Pass</t>
        </is>
      </c>
      <c r="M12" s="3" t="inlineStr">
        <is>
          <t>✅</t>
        </is>
      </c>
      <c r="N12" s="3" t="inlineStr">
        <is>
          <t>Direct test</t>
        </is>
      </c>
      <c r="O12" s="2" t="n">
        <v>7</v>
      </c>
      <c r="P12" s="3" t="inlineStr">
        <is>
          <t>Config + Build — Periodic Submission record; scheduled reminder job; build for the nil-return confirmation.</t>
        </is>
      </c>
      <c r="Q12" s="2" t="inlineStr"/>
      <c r="R12" s="3" t="inlineStr"/>
      <c r="S12" s="3" t="inlineStr">
        <is>
          <t>E5, E17, E29</t>
        </is>
      </c>
      <c r="T12" s="2" t="n">
        <v>12</v>
      </c>
    </row>
    <row r="13" ht="56" customHeight="1">
      <c r="A13" s="2" t="inlineStr">
        <is>
          <t>E-12</t>
        </is>
      </c>
      <c r="B13" s="3" t="inlineStr">
        <is>
          <t>ESC</t>
        </is>
      </c>
      <c r="C13" s="2" t="inlineStr">
        <is>
          <t>Mandatory</t>
        </is>
      </c>
      <c r="D13" s="3" t="inlineStr">
        <is>
          <t>History; revert</t>
        </is>
      </c>
      <c r="E13" s="3" t="inlineStr">
        <is>
          <t>Version Control, Audit History and Accountability</t>
        </is>
      </c>
      <c r="F13" s="3" t="inlineStr">
        <is>
          <t>The system shall track changes to escalation matters, maintain complete history, and log user actions with timestamp and attribution, retaining version history. Revert to a previous version shall be available to authorised users.</t>
        </is>
      </c>
      <c r="G13" s="3" t="inlineStr">
        <is>
          <t>consilium_core.revision.snapshot on every save (hooks doc_events); unified history (changes, comments, notifications) and a revision list with Revert (reason required, state and handling kept, closed matters refused) on /escalation; evidence-pack ZIP.</t>
        </is>
      </c>
      <c r="H13" s="2" t="inlineStr">
        <is>
          <t>a</t>
        </is>
      </c>
      <c r="I13" s="3" t="inlineStr">
        <is>
          <t>(a) Portal screen</t>
        </is>
      </c>
      <c r="J13" s="3" t="inlineStr">
        <is>
          <t>30 matter versions on the demo (ESC-2026-00015 has 4, ESC-2026-00007 has 3).</t>
        </is>
      </c>
      <c r="K13" s="3" t="inlineStr">
        <is>
          <t>consilium_core.tests.test_revision.TestMatterRevision (all 13); consilium_core.tests.test_core_controls_wave3.TestHistoryAndEvidencePack (all 4); escalation.tests.test_entities.TestModuleShape.test_every_entity_tracks_changes</t>
        </is>
      </c>
      <c r="L13" s="3" t="inlineStr">
        <is>
          <t>Pass</t>
        </is>
      </c>
      <c r="M13" s="3" t="inlineStr">
        <is>
          <t>✅</t>
        </is>
      </c>
      <c r="N13" s="3" t="inlineStr">
        <is>
          <t>Direct test</t>
        </is>
      </c>
      <c r="O13" s="2" t="n">
        <v>21</v>
      </c>
      <c r="P13" s="3" t="inlineStr">
        <is>
          <t>Native + Build — native version log; revert is a build.</t>
        </is>
      </c>
      <c r="Q13" s="2" t="inlineStr">
        <is>
          <t>Δ</t>
        </is>
      </c>
      <c r="R13" s="3" t="inlineStr"/>
      <c r="S13" s="3" t="inlineStr">
        <is>
          <t>E4, E17, E30</t>
        </is>
      </c>
      <c r="T13" s="2" t="n">
        <v>10</v>
      </c>
    </row>
    <row r="14" ht="108" customHeight="1">
      <c r="A14" s="2" t="inlineStr">
        <is>
          <t>E-13</t>
        </is>
      </c>
      <c r="B14" s="3" t="inlineStr">
        <is>
          <t>ESC</t>
        </is>
      </c>
      <c r="C14" s="2" t="inlineStr">
        <is>
          <t>Mandatory</t>
        </is>
      </c>
      <c r="D14" s="3" t="inlineStr">
        <is>
          <t>SLA for workflow steps, status durations and total time open</t>
        </is>
      </c>
      <c r="E14" s="3" t="inlineStr">
        <is>
          <t>Service Level Tracking</t>
        </is>
      </c>
      <c r="F14" s="3" t="inlineStr">
        <is>
          <t>The system shall track service levels for workflow steps, status durations and total time-open, to support performance monitoring and oversight.</t>
        </is>
      </c>
      <c r="G14" s="3" t="inlineStr">
        <is>
          <t>Total time open per matrix rule (Core clock, business calendar, daily breach sweep that raises the matter); time in each status rebuilt from the change log and judged against Time In State definitions (timing.get_time_in_state, state_durations), kept live by the sla.on_subject_update hook and an hourly catch-up; warning at the configured percentage; second-line challenge clock. Shown on /escalation and /reports. Time To First Action is supported by sla.py but no definition is configured, so it is not shown.</t>
        </is>
      </c>
      <c r="H14" s="2" t="inlineStr">
        <is>
          <t>a</t>
        </is>
      </c>
      <c r="I14" s="3" t="inlineStr">
        <is>
          <t>(a) Portal screen</t>
        </is>
      </c>
      <c r="J14" s="3" t="inlineStr">
        <is>
          <t>ESC-HIGH, ESC-MEDIUM, ESC-LOW; ESC-STATE-OPEN, -PROGRESS, -REVIEW, -PENDING; SLAC-00011 ESC-2026-00007 breached 2026-07-31; SLAC-00032 and SLAC-00033 time-in-Open breaches on ESC-2026-00008 and 00010 (no severity raise).</t>
        </is>
      </c>
      <c r="K14" s="3" t="inlineStr">
        <is>
          <t>escalation.tests.test_assignment_and_timing.TestTimeInStatus (all 5); consilium_core.tests.test_sla_measures.TestTimeInState (all 8), TestWarningsAndBreaches (all 7); escalation.tests.test_resolution.TestServiceLevels (all 5); escalation.tests.test_wave3_escalation.TestOnlyTheResolutionThresholdRaisesAMatter (all 2); escalation.tests.test_regressions.TestBreachIsNotRepeated (all 2)</t>
        </is>
      </c>
      <c r="L14" s="3" t="inlineStr">
        <is>
          <t>Pass</t>
        </is>
      </c>
      <c r="M14" s="3" t="inlineStr">
        <is>
          <t>✅</t>
        </is>
      </c>
      <c r="N14" s="3" t="inlineStr">
        <is>
          <t>Direct test</t>
        </is>
      </c>
      <c r="O14" s="2" t="n">
        <v>34</v>
      </c>
      <c r="P14" s="3" t="inlineStr">
        <is>
          <t>Build — service-level definitions, a clock that accrues per state, and breach detection.</t>
        </is>
      </c>
      <c r="Q14" s="2" t="inlineStr">
        <is>
          <t>Δ</t>
        </is>
      </c>
      <c r="R14" s="3" t="inlineStr"/>
      <c r="S14" s="3" t="inlineStr">
        <is>
          <t>E17, E29</t>
        </is>
      </c>
      <c r="T14" s="2" t="n">
        <v>7</v>
      </c>
    </row>
    <row r="15" ht="82" customHeight="1">
      <c r="A15" s="2" t="inlineStr">
        <is>
          <t>E-14</t>
        </is>
      </c>
      <c r="B15" s="3" t="inlineStr">
        <is>
          <t>ESC</t>
        </is>
      </c>
      <c r="C15" s="2" t="inlineStr">
        <is>
          <t>Mandatory</t>
        </is>
      </c>
      <c r="D15" s="3" t="inlineStr">
        <is>
          <t>Statuses including Open, Under Review, Closed — tracked externally</t>
        </is>
      </c>
      <c r="E15" s="3" t="inlineStr">
        <is>
          <t>Status Management</t>
        </is>
      </c>
      <c r="F15" s="3" t="inlineStr">
        <is>
          <t>The system shall manage escalation lifecycle statuses, including at minimum Open, Under Review and Closed — tracked externally.</t>
        </is>
      </c>
      <c r="G15" s="3" t="inlineStr">
        <is>
          <t>Six configured states mapped to semantic flags (state_flag_seed.py, Workflow State Flag); externally-tracked closure needs the external reference; moved and closed on /escalation.</t>
        </is>
      </c>
      <c r="H15" s="2" t="inlineStr">
        <is>
          <t>a</t>
        </is>
      </c>
      <c r="I15" s="3" t="inlineStr">
        <is>
          <t>(a) Portal screen</t>
        </is>
      </c>
      <c r="J15" s="3" t="inlineStr">
        <is>
          <t>Open ESC-2026-00008, 00010, 00012 … 00014; In Progress 00003, 00007; Under Review 00002, 00009, 00015; Pending Review 00004; Closed 00001, 00005, 00011; Closed — Tracked Externally 00006 (EXTR-00005).</t>
        </is>
      </c>
      <c r="K15" s="3" t="inlineStr">
        <is>
          <t>escalation.tests.test_resolution.TestStatesAndClosure.test_a_matter_moves_through_its_states, …test_an_externally_tracked_closure_needs_its_external_reference; escalation.tests.test_portal_actions.TestStatus (all 4), TestClosure.test_closing_as_tracked_elsewhere_takes_the_closures_reference; consilium_core.tests.test_state_flags.TestStateFlags (all 7)</t>
        </is>
      </c>
      <c r="L15" s="3" t="inlineStr">
        <is>
          <t>Pass</t>
        </is>
      </c>
      <c r="M15" s="3" t="inlineStr">
        <is>
          <t>✅</t>
        </is>
      </c>
      <c r="N15" s="3" t="inlineStr">
        <is>
          <t>Direct test</t>
        </is>
      </c>
      <c r="O15" s="2" t="n">
        <v>17</v>
      </c>
      <c r="P15" s="3" t="inlineStr">
        <is>
          <t>Config — workflow states with semantic flags; the external-closure status is a terminal state carrying an external reference.</t>
        </is>
      </c>
      <c r="Q15" s="2" t="inlineStr">
        <is>
          <t>Δ</t>
        </is>
      </c>
      <c r="R15" s="3" t="inlineStr"/>
      <c r="S15" s="3" t="inlineStr">
        <is>
          <t>E17</t>
        </is>
      </c>
      <c r="T15" s="2" t="n">
        <v>5</v>
      </c>
    </row>
    <row r="16" ht="95" customHeight="1">
      <c r="A16" s="2" t="inlineStr">
        <is>
          <t>E-15</t>
        </is>
      </c>
      <c r="B16" s="3" t="inlineStr">
        <is>
          <t>ESC</t>
        </is>
      </c>
      <c r="C16" s="2" t="inlineStr">
        <is>
          <t>Mandatory</t>
        </is>
      </c>
      <c r="D16" s="3" t="inlineStr">
        <is>
          <t>Reporting and dashboards: status, severity, risk type, forum, executive; trends; export</t>
        </is>
      </c>
      <c r="E16" s="3" t="inlineStr">
        <is>
          <t>Reporting and Dashboards</t>
        </is>
      </c>
      <c r="F16" s="3" t="inlineStr">
        <is>
          <t>The system shall provide reporting and dashboards for oversight, monitoring and analysis of escalation matters — status, trends and performance — with filtering and aggregation by status, severity, risk type, governance forum and accountable executive; dashboards configurable for real-time and historical views including service-level progress, upcoming actions and recurring or systemic themes; and export for management, audit and regulatory needs.</t>
        </is>
      </c>
      <c r="G16" s="3" t="inlineStr">
        <is>
          <t>/reports escalation section: counts and bars by severity, type, level, age, breaches, appetite, review; analysis.summary (volumes, durations, destinations by forum, outcomes by month, quarter or year) with CSV analysis.export; /emerging-risks trends by tier-1 risk type and escalation type; register sortable by accountable executive and risk types, with Export CSV of the matching rows; desk report builder (DK-5) for any other grouping. All permission-filtered.</t>
        </is>
      </c>
      <c r="H16" s="2" t="inlineStr">
        <is>
          <t>a</t>
        </is>
      </c>
      <c r="I16" s="3" t="inlineStr">
        <is>
          <t>(a) Portal screen</t>
        </is>
      </c>
      <c r="J16" s="3" t="inlineStr">
        <is>
          <t>15 demo matters; /emerging-risks computes 42 series, 7 rising.</t>
        </is>
      </c>
      <c r="K16" s="3" t="inlineStr">
        <is>
          <t>escalation.tests.test_analysis.TestAnalysis (all 5); consilium_core.tests.test_ai_features.TestTrends (all 4)</t>
        </is>
      </c>
      <c r="L16" s="3" t="inlineStr">
        <is>
          <t>Pass</t>
        </is>
      </c>
      <c r="M16" s="3" t="inlineStr">
        <is>
          <t>✅</t>
        </is>
      </c>
      <c r="N16" s="3" t="inlineStr">
        <is>
          <t>Direct test</t>
        </is>
      </c>
      <c r="O16" s="2" t="n">
        <v>11</v>
      </c>
      <c r="P16" s="3" t="inlineStr">
        <is>
          <t>Native + Build — as G-12.</t>
        </is>
      </c>
      <c r="Q16" s="2" t="inlineStr"/>
      <c r="R16" s="3" t="inlineStr"/>
      <c r="S16" s="3" t="inlineStr">
        <is>
          <t>E17, E20</t>
        </is>
      </c>
      <c r="T16" s="2" t="n">
        <v>9</v>
      </c>
    </row>
    <row r="17" ht="82" customHeight="1">
      <c r="A17" s="2" t="inlineStr">
        <is>
          <t>E-16</t>
        </is>
      </c>
      <c r="B17" s="3" t="inlineStr">
        <is>
          <t>ESC</t>
        </is>
      </c>
      <c r="C17" s="2" t="inlineStr">
        <is>
          <t>Mandatory</t>
        </is>
      </c>
      <c r="D17" s="3" t="inlineStr">
        <is>
          <t>RBAC by role; flag and restrict sensitive escalations on every path</t>
        </is>
      </c>
      <c r="E17" s="3" t="inlineStr">
        <is>
          <t>Role-Based Access Control</t>
        </is>
      </c>
      <c r="F17" s="3" t="inlineStr">
        <is>
          <t>The system shall provide role-based access for individuals and delegates, grouping users by role — escalator, accountable executive or governance forum, response owner, second line of defence, risk governance office — with responsibilities associated to each role, and shall flag and restrict access to escalations designated sensitive.</t>
        </is>
      </c>
      <c r="G17" s="3" t="inlineStr">
        <is>
          <t>has_permission and permission_query_conditions on the matter and its three child entities; role Sensitive Escalation Access; named people (response owner, accountable executive, raiser, members of its queue) see their own sensitive matter; the register, reports, analysis, assistant and AI features count only visible rows; only a cleared person may raise a sensitive matter.</t>
        </is>
      </c>
      <c r="H17" s="2" t="inlineStr">
        <is>
          <t>a</t>
        </is>
      </c>
      <c r="I17" s="3" t="inlineStr">
        <is>
          <t>(a) Portal screen</t>
        </is>
      </c>
      <c r="J17" s="3" t="inlineStr">
        <is>
          <t>ESC-2026-00003 and ESC-2026-00004 sensitive.</t>
        </is>
      </c>
      <c r="K17" s="3" t="inlineStr">
        <is>
          <t>escalation.tests.test_sensitivity.TestSensitiveMatters (all 8), TestNamedPeopleSeeTheirSensitiveMatters (all 4); escalation.tests.test_portal_actions.TestSensitiveMatter (all 3); escalation.tests.test_entities.TestEscalationMatter.test_permissions</t>
        </is>
      </c>
      <c r="L17" s="3" t="inlineStr">
        <is>
          <t>Pass</t>
        </is>
      </c>
      <c r="M17" s="3" t="inlineStr">
        <is>
          <t>✅</t>
        </is>
      </c>
      <c r="N17" s="3" t="inlineStr">
        <is>
          <t>Direct test</t>
        </is>
      </c>
      <c r="O17" s="2" t="n">
        <v>19</v>
      </c>
      <c r="P17" s="3" t="inlineStr">
        <is>
          <t>Native + Config + Build — native role and permission engine; build for the sensitive-record restriction, which must survive list, report, search and export paths.</t>
        </is>
      </c>
      <c r="Q17" s="2" t="inlineStr">
        <is>
          <t>Δ</t>
        </is>
      </c>
      <c r="R17" s="3" t="inlineStr"/>
      <c r="S17" s="3" t="inlineStr">
        <is>
          <t>E2</t>
        </is>
      </c>
      <c r="T17" s="2" t="n">
        <v>5</v>
      </c>
    </row>
    <row r="18" ht="147" customHeight="1">
      <c r="A18" s="2" t="inlineStr">
        <is>
          <t>E-17</t>
        </is>
      </c>
      <c r="B18" s="3" t="inlineStr">
        <is>
          <t>ESC</t>
        </is>
      </c>
      <c r="C18" s="2" t="inlineStr">
        <is>
          <t>Mandatory</t>
        </is>
      </c>
      <c r="D18" s="3" t="inlineStr">
        <is>
          <t>Configurable, templated notifications to users and groups</t>
        </is>
      </c>
      <c r="E18" s="3" t="inlineStr">
        <is>
          <t>Notifications</t>
        </is>
      </c>
      <c r="F18" s="3" t="inlineStr">
        <is>
          <t>The system shall send configurable, templated, automated notifications to users and groups across the escalation lifecycle.</t>
        </is>
      </c>
      <c r="G18" s="3" t="inlineStr">
        <is>
          <t>Every notice goes through notification.notify and an admin-editable Notification Template (12 escalation events: breach, material-entity impact, queued, action plan due and overdue, periodic return opened, due and overdue, risk acceptance expiring, expired, reassessment due and overdue); e-mail by SMTP (framework mail queue) or Microsoft Graph (app-only client credentials; token cached; 401 renews the token; 429, 503 and 504 retried per Retry-After), chosen in Admin → Integrations, with hourly retry and record channel fallback; recipients are named people, matrix user groups, queue members and pathway forum participants. Templates edited on desk (DK-7), sent by jobs and hooks (BG). A real mail relay or Graph tenant needs the target environment.</t>
        </is>
      </c>
      <c r="H18" s="2" t="inlineStr">
        <is>
          <t>b</t>
        </is>
      </c>
      <c r="I18" s="3" t="inlineStr">
        <is>
          <t>(b) Desk / config / job by design</t>
        </is>
      </c>
      <c r="J18" s="3" t="inlineStr">
        <is>
          <t>52 dispatches on Escalation Matter subjects; reminder log shows escalation.action_plan.overdue ×4, due_soon ×1.</t>
        </is>
      </c>
      <c r="K18" s="3" t="inlineStr">
        <is>
          <t>consilium_core.tests.test_notification_templates.TestEventApi (all 10), TestTemplateFailures (all 5), TestEmailRetry (all 3), TestSeeding (all 2); consilium_core.tests.test_graph_mail.TestTheWire (all 8), TestTheDispatchRecord (all 7), TestTheSettings (all 5); escalation.tests.test_assignment_and_timing.TestAssignmentByGroup.test_the_queue_is_told_when_the_matter_enters_it; escalation.tests.test_participants.TestPathwayParticipants.test_a_breach_reaches_the_pathway_forums_people</t>
        </is>
      </c>
      <c r="L18" s="3" t="inlineStr">
        <is>
          <t>Pass</t>
        </is>
      </c>
      <c r="M18" s="3" t="inlineStr">
        <is>
          <t>✅</t>
        </is>
      </c>
      <c r="N18" s="3" t="inlineStr">
        <is>
          <t>Direct test</t>
        </is>
      </c>
      <c r="O18" s="2" t="n">
        <v>46</v>
      </c>
      <c r="P18" s="3" t="inlineStr">
        <is>
          <t>Native + Config + Build — as G-14.</t>
        </is>
      </c>
      <c r="Q18" s="2" t="inlineStr">
        <is>
          <t>Δ</t>
        </is>
      </c>
      <c r="R18" s="3" t="inlineStr"/>
      <c r="S18" s="3" t="inlineStr">
        <is>
          <t>E19, E29, E36</t>
        </is>
      </c>
      <c r="T18" s="2" t="n">
        <v>12</v>
      </c>
    </row>
    <row r="19" ht="82" customHeight="1">
      <c r="A19" s="2" t="inlineStr">
        <is>
          <t>E-18</t>
        </is>
      </c>
      <c r="B19" s="3" t="inlineStr">
        <is>
          <t>ESC</t>
        </is>
      </c>
      <c r="C19" s="2" t="inlineStr">
        <is>
          <t>Mandatory</t>
        </is>
      </c>
      <c r="D19" s="3" t="inlineStr">
        <is>
          <t>Retention and WORM</t>
        </is>
      </c>
      <c r="E19" s="3" t="inlineStr">
        <is>
          <t>Data and Document Retention</t>
        </is>
      </c>
      <c r="F19" s="3" t="inlineStr">
        <is>
          <t>The system shall retain data and documents in accordance with the applicable retention policy and requirements, and shall hold documents and data in a write-once, read-many form for the duration of their retention period.</t>
        </is>
      </c>
      <c r="G19" s="3" t="inlineStr">
        <is>
          <t>As G-16: retention and legal-hold guards on every save and delete (wildcard doc_events); ESC-MATTER retention class; daily retention.flag_due_for_disposal schedules a disposal for review and flags held records. Gap: execute_disposition and release_hold are reachable only from code (no desk button, no endpoint); no retention assignment exists on the demo, so nothing is under retention.</t>
        </is>
      </c>
      <c r="H19" s="2" t="inlineStr">
        <is>
          <t>c</t>
        </is>
      </c>
      <c r="I19" s="3" t="inlineStr">
        <is>
          <t>(c) Partly reachable</t>
        </is>
      </c>
      <c r="J19" s="3" t="inlineStr">
        <is>
          <t>Retention class ESC-MATTER; 0 retention assignments, 0 legal holds, 0 disposition events.</t>
        </is>
      </c>
      <c r="K19" s="3" t="inlineStr">
        <is>
          <t>consilium_core.tests.test_retention.TestRetention (all 14); consilium_core.tests.test_core_controls_wave3.TestScheduledDisposalReview (all 5)</t>
        </is>
      </c>
      <c r="L19" s="3" t="inlineStr">
        <is>
          <t>Pass</t>
        </is>
      </c>
      <c r="M19" s="3" t="inlineStr">
        <is>
          <t>✅</t>
        </is>
      </c>
      <c r="N19" s="3" t="inlineStr">
        <is>
          <t>Direct test</t>
        </is>
      </c>
      <c r="O19" s="2" t="n">
        <v>21</v>
      </c>
      <c r="P19" s="3" t="inlineStr">
        <is>
          <t>Build — as G-16.</t>
        </is>
      </c>
      <c r="Q19" s="2" t="inlineStr">
        <is>
          <t>Δ</t>
        </is>
      </c>
      <c r="R19" s="3" t="inlineStr">
        <is>
          <t>Class (c)</t>
        </is>
      </c>
      <c r="S19" s="3" t="inlineStr"/>
      <c r="T19" s="2" t="n"/>
    </row>
    <row r="20" ht="225" customHeight="1">
      <c r="A20" s="2" t="inlineStr">
        <is>
          <t>E-19</t>
        </is>
      </c>
      <c r="B20" s="3" t="inlineStr">
        <is>
          <t>ESC</t>
        </is>
      </c>
      <c r="C20" s="2" t="inlineStr">
        <is>
          <t>Mandatory</t>
        </is>
      </c>
      <c r="D20" s="3" t="inlineStr">
        <is>
          <t>Inbound file import creates matters; outbound export with linkage; forum selection; related risk ids</t>
        </is>
      </c>
      <c r="E20" s="3" t="inlineStr">
        <is>
          <t>Integration</t>
        </is>
      </c>
      <c r="F20" s="3" t="inlineStr">
        <is>
          <t>The system shall allow escalation matters to be created, updated and tracked consistently across risk, governance and issue-management platforms. Inbound: receive data from external systems — issue management, operational risk events, risk appetite monitoring — to create escalation matters with pre-populated data, with field mapping for completeness, consistency and traceability, and validation and handling rules for missing, invalid or incomplete information. Outbound: send escalation data to external systems for downstream tracking, resolution and reporting, with field mapping and maintained linkage, and synchronisation of status and key attributes where applicable. Governance alignment: select governance forums as pathways using authoritative forum data; link to related risk identifiers for end-to-end traceability; apply restricted handling to sensitive escalations. Technical: configurable methods and frequency; formats supported by both ends; identity platform integration for user selection, routing and notification; alignment to enterprise taxonomies with field mapping and handling rules.</t>
        </is>
      </c>
      <c r="G20" s="3" t="inlineStr">
        <is>
          <t>Inbound: /imports (CS-11) upload, review, exclude, revalidate, commit against profile IMPP-00002, with escalation.importing.attach_impacted_entities as the module preparer; a re-import of the same key updates. External Reference; related_risk_reference; forum selection in-database. Gap: outbound export (consilium_core.importing.export_records, Export Batch linkage register) has no screen or endpoint; it is reachable only from tests.</t>
        </is>
      </c>
      <c r="H20" s="2" t="inlineStr">
        <is>
          <t>c</t>
        </is>
      </c>
      <c r="I20" s="3" t="inlineStr">
        <is>
          <t>(c) Partly reachable</t>
        </is>
      </c>
      <c r="J20" s="3" t="inlineStr">
        <is>
          <t>IMPB-00001 Validated against IMPP-00002; EXTR-00006 (RISK_REGISTER RAS-CRE-01) on ESC-2026-00007; 0 export batches.</t>
        </is>
      </c>
      <c r="K20" s="3" t="inlineStr">
        <is>
          <t>escalation.tests.test_import_export.TestImportPath (all 4); consilium_core.tests.test_imports_portal.TestReview.test_a_module_preparer_runs_before_the_commit, TestUpload (all 5); consilium_core.tests.test_import_pipeline.TestImportPipeline.test_a_second_import_of_the_same_key_updates_rather_than_duplicates, …test_an_export_batch_records_what_left</t>
        </is>
      </c>
      <c r="L20" s="3" t="inlineStr">
        <is>
          <t>Pass</t>
        </is>
      </c>
      <c r="M20" s="3" t="inlineStr">
        <is>
          <t>✅</t>
        </is>
      </c>
      <c r="N20" s="3" t="inlineStr">
        <is>
          <t>Direct test</t>
        </is>
      </c>
      <c r="O20" s="2" t="n">
        <v>15</v>
      </c>
      <c r="P20" s="3" t="inlineStr">
        <is>
          <t>Build — inbound becomes the manual/file import path; outbound becomes an export with a linkage register; forum selection is an in-database relationship; identity is app-native with pluggable single sign-on.</t>
        </is>
      </c>
      <c r="Q20" s="2" t="inlineStr">
        <is>
          <t>Δ</t>
        </is>
      </c>
      <c r="R20" s="3" t="inlineStr">
        <is>
          <t>Class (c)</t>
        </is>
      </c>
      <c r="S20" s="3" t="inlineStr">
        <is>
          <t>E21, E28</t>
        </is>
      </c>
      <c r="T20" s="2" t="n">
        <v>7</v>
      </c>
    </row>
  </sheetData>
  <conditionalFormatting sqref="H2:H20">
    <cfRule type="expression" priority="1" dxfId="0" stopIfTrue="1">
      <formula>H2="a"</formula>
    </cfRule>
    <cfRule type="expression" priority="2" dxfId="1" stopIfTrue="1">
      <formula>H2="b"</formula>
    </cfRule>
    <cfRule type="expression" priority="3" dxfId="2" stopIfTrue="1">
      <formula>H2="c"</formula>
    </cfRule>
    <cfRule type="expression" priority="4" dxfId="3" stopIfTrue="1">
      <formula>H2="d"</formula>
    </cfRule>
  </conditionalFormatting>
  <conditionalFormatting sqref="L2:L20">
    <cfRule type="expression" priority="5" dxfId="0" stopIfTrue="1">
      <formula>L2="Pass"</formula>
    </cfRule>
    <cfRule type="expression" priority="6" dxfId="4" stopIfTrue="1">
      <formula>L2="Pass (qualified)"</formula>
    </cfRule>
    <cfRule type="expression" priority="7" dxfId="2" stopIfTrue="1">
      <formula>L2="No direct test"</formula>
    </cfRule>
    <cfRule type="expression" priority="8" dxfId="3" stopIfTrue="1">
      <formula>L2="Fail"</formula>
    </cfRule>
  </conditionalFormatting>
  <conditionalFormatting sqref="N2:N20">
    <cfRule type="expression" priority="9" dxfId="2" stopIfTrue="1">
      <formula>N2="No direct test"</formula>
    </cfRule>
    <cfRule type="expression" priority="10" dxfId="3" stopIfTrue="1">
      <formula>N2="Failing test"</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T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26" customWidth="1" min="4" max="4"/>
    <col width="22" customWidth="1" min="5" max="5"/>
    <col width="60" customWidth="1" min="6" max="6"/>
    <col width="60" customWidth="1" min="7" max="7"/>
    <col width="13" customWidth="1" min="8" max="8"/>
    <col width="20" customWidth="1" min="9" max="9"/>
    <col width="42" customWidth="1" min="10" max="10"/>
    <col width="52" customWidth="1" min="11" max="11"/>
    <col width="16" customWidth="1" min="12" max="12"/>
    <col width="18" customWidth="1" min="13" max="13"/>
    <col width="14" customWidth="1" min="14" max="14"/>
    <col width="13" customWidth="1" min="15" max="15"/>
    <col width="34" customWidth="1" min="16" max="16"/>
    <col width="13" customWidth="1" min="17" max="17"/>
    <col width="20" customWidth="1" min="18" max="18"/>
    <col width="16" customWidth="1" min="19" max="19"/>
    <col width="13" customWidth="1" min="20" max="20"/>
  </cols>
  <sheetData>
    <row r="1" ht="43" customHeight="1">
      <c r="A1" s="1" t="inlineStr">
        <is>
          <t>ID</t>
        </is>
      </c>
      <c r="B1" s="1" t="inlineStr">
        <is>
          <t>Module</t>
        </is>
      </c>
      <c r="C1" s="1" t="inlineStr">
        <is>
          <t>Priority</t>
        </is>
      </c>
      <c r="D1" s="1" t="inlineStr">
        <is>
          <t>Short title</t>
        </is>
      </c>
      <c r="E1" s="1" t="inlineStr">
        <is>
          <t>Baseline title</t>
        </is>
      </c>
      <c r="F1" s="1" t="inlineStr">
        <is>
          <t>Requirement (baseline statement)</t>
        </is>
      </c>
      <c r="G1" s="1" t="inlineStr">
        <is>
          <t>What satisfies it</t>
        </is>
      </c>
      <c r="H1" s="1" t="inlineStr">
        <is>
          <t>Class</t>
        </is>
      </c>
      <c r="I1" s="1" t="inlineStr">
        <is>
          <t>Class meaning</t>
        </is>
      </c>
      <c r="J1" s="1" t="inlineStr">
        <is>
          <t>Demo data / workflow</t>
        </is>
      </c>
      <c r="K1" s="1" t="inlineStr">
        <is>
          <t>Test(s)</t>
        </is>
      </c>
      <c r="L1" s="1" t="inlineStr">
        <is>
          <t>Result</t>
        </is>
      </c>
      <c r="M1" s="1" t="inlineStr">
        <is>
          <t>Result as measured</t>
        </is>
      </c>
      <c r="N1" s="1" t="inlineStr">
        <is>
          <t>Test evidence</t>
        </is>
      </c>
      <c r="O1" s="1" t="inlineStr">
        <is>
          <t>Cited test methods (est.)</t>
        </is>
      </c>
      <c r="P1" s="1" t="inlineStr">
        <is>
          <t>Planned satisfaction (baseline)</t>
        </is>
      </c>
      <c r="Q1" s="1" t="inlineStr">
        <is>
          <t>Δ decision</t>
        </is>
      </c>
      <c r="R1" s="1" t="inlineStr">
        <is>
          <t>Gap sections citing it</t>
        </is>
      </c>
      <c r="S1" s="1" t="inlineStr">
        <is>
          <t>Epics tracing it</t>
        </is>
      </c>
      <c r="T1" s="1" t="inlineStr">
        <is>
          <t>Stories tracing it</t>
        </is>
      </c>
    </row>
    <row r="2" ht="82" customHeight="1">
      <c r="A2" s="2" t="inlineStr">
        <is>
          <t>O-1</t>
        </is>
      </c>
      <c r="B2" s="3" t="inlineStr">
        <is>
          <t>Supplementary</t>
        </is>
      </c>
      <c r="C2" s="2" t="inlineStr">
        <is>
          <t>Supplementary</t>
        </is>
      </c>
      <c r="D2" s="3" t="inlineStr">
        <is>
          <t>Home page user guide (setup, forum types, templates, authority, escalation)</t>
        </is>
      </c>
      <c r="E2" s="3" t="inlineStr"/>
      <c r="F2" s="3" t="inlineStr">
        <is>
          <t>A home page carrying a user guide: how to set up a governance forum, definitions of each forum type and how to choose between them, templates (charters, meeting materials, reporting requirements), decision-making authority and escalation protocols.</t>
        </is>
      </c>
      <c r="G2" s="3" t="inlineStr">
        <is>
          <t>/ reads Guide Article (edited on desk), with built-in fallback text. Articles whose category has no card are still rendered. The help assistant on every page also answers from the illustrated guide chapters, citing them (administration chapters for administrators only). Gap: the create-forum wizard's guidance (CS-4 in the O-1 trace) is static page text, not Guide Article.</t>
        </is>
      </c>
      <c r="H2" s="2" t="inlineStr">
        <is>
          <t>a</t>
        </is>
      </c>
      <c r="I2" s="3" t="inlineStr">
        <is>
          <t>(a) Portal screen</t>
        </is>
      </c>
      <c r="J2" s="3" t="inlineStr">
        <is>
          <t>6 published articles: guide-getting-started, guide-forum-types, guide-templates, guide-decision-authority, guide-escalation-protocol, guide-policy-lifecycle.</t>
        </is>
      </c>
      <c r="K2" s="3" t="inlineStr">
        <is>
          <t>consilium_core.tests.test_w3_guides_core.TestGuideArticlesAreFoundWhereTheAssistantPoints (all 2); consilium_core.tests.test_assistant.TestBuiltInAnswers (all 12), TestAdminDocumentation (all 2); consilium_core.tests.test_portal_pages.TestAdministrator.test_every_page_renders_with_its_key_sections</t>
        </is>
      </c>
      <c r="L2" s="3" t="inlineStr">
        <is>
          <t>Pass</t>
        </is>
      </c>
      <c r="M2" s="3" t="inlineStr">
        <is>
          <t>✅</t>
        </is>
      </c>
      <c r="N2" s="3" t="inlineStr">
        <is>
          <t>Direct test</t>
        </is>
      </c>
      <c r="O2" s="2" t="n">
        <v>20</v>
      </c>
      <c r="P2" s="3" t="inlineStr">
        <is>
          <t>Build — custom home screen with managed guide content.</t>
        </is>
      </c>
      <c r="Q2" s="2" t="inlineStr"/>
      <c r="R2" s="3" t="inlineStr"/>
      <c r="S2" s="3" t="inlineStr">
        <is>
          <t>E31, E35</t>
        </is>
      </c>
      <c r="T2" s="2" t="n">
        <v>9</v>
      </c>
    </row>
    <row r="3" ht="56" customHeight="1">
      <c r="A3" s="2" t="inlineStr">
        <is>
          <t>O-2</t>
        </is>
      </c>
      <c r="B3" s="3" t="inlineStr">
        <is>
          <t>Supplementary</t>
        </is>
      </c>
      <c r="C3" s="2" t="inlineStr">
        <is>
          <t>Supplementary</t>
        </is>
      </c>
      <c r="D3" s="3" t="inlineStr">
        <is>
          <t>Interconnectivity flow chart (home and forum page)</t>
        </is>
      </c>
      <c r="E3" s="3" t="inlineStr"/>
      <c r="F3" s="3" t="inlineStr">
        <is>
          <t>A view of governance interconnectivity between committees, councils and oversight bodies, rendered as a flow chart.</t>
        </is>
      </c>
      <c r="G3" s="3" t="inlineStr">
        <is>
          <t>Home page forum map (inventory.forum_map: every forum the viewer may read, with links only where both ends are readable). Forum page SVG (inventory.interconnectivity).</t>
        </is>
      </c>
      <c r="H3" s="2" t="inlineStr">
        <is>
          <t>a</t>
        </is>
      </c>
      <c r="I3" s="3" t="inlineStr">
        <is>
          <t>(a) Portal screen</t>
        </is>
      </c>
      <c r="J3" s="3" t="inlineStr">
        <is>
          <t>All 14 forums and 15 links on /. FRM-2026-00005 Executive Risk Committee with two parents and five children on /forum.</t>
        </is>
      </c>
      <c r="K3" s="3" t="inlineStr">
        <is>
          <t>governance.tests.test_governance_gaps.TestInventoryReads.test_the_map_draws_what_the_viewer_may_see, TestPages.test_the_pages_render_with_their_new_sections; governance.tests.test_inventory.TestRelationships (all 2)</t>
        </is>
      </c>
      <c r="L3" s="3" t="inlineStr">
        <is>
          <t>Pass</t>
        </is>
      </c>
      <c r="M3" s="3" t="inlineStr">
        <is>
          <t>✅</t>
        </is>
      </c>
      <c r="N3" s="3" t="inlineStr">
        <is>
          <t>Direct test</t>
        </is>
      </c>
      <c r="O3" s="2" t="n">
        <v>6</v>
      </c>
      <c r="P3" s="3" t="inlineStr">
        <is>
          <t>Build — consumes the Forum Link relationships. Rendered on both the home page and the forum detail page.</t>
        </is>
      </c>
      <c r="Q3" s="2" t="inlineStr"/>
      <c r="R3" s="3" t="inlineStr"/>
      <c r="S3" s="3" t="inlineStr">
        <is>
          <t>E33</t>
        </is>
      </c>
      <c r="T3" s="2" t="n">
        <v>1</v>
      </c>
    </row>
    <row r="4" ht="82" customHeight="1">
      <c r="A4" s="2" t="inlineStr">
        <is>
          <t>O-3</t>
        </is>
      </c>
      <c r="B4" s="3" t="inlineStr">
        <is>
          <t>Supplementary</t>
        </is>
      </c>
      <c r="C4" s="2" t="inlineStr">
        <is>
          <t>Supplementary</t>
        </is>
      </c>
      <c r="D4" s="3" t="inlineStr">
        <is>
          <t>Customisable dashboard: activity, compliance status, gaps in coverage</t>
        </is>
      </c>
      <c r="E4" s="3" t="inlineStr"/>
      <c r="F4" s="3" t="inlineStr">
        <is>
          <t>A customisable visual dashboard summarising forum activity, compliance status and gaps in governance coverage.</t>
        </is>
      </c>
      <c r="G4" s="3" t="inlineStr">
        <is>
          <t>/reports forum section plus the coverage-gap matrix (risk category by owning group, empty cells highlighted, forums or documents). /governance-gaps lists coverage gaps by rule. Missing: customisation. The viewer cannot choose, arrange or save what the dashboard shows; the only choice is the forums/documents switch on the matrix. The desk workspace ships no Dashboard Chart or Number Card.</t>
        </is>
      </c>
      <c r="H4" s="2" t="inlineStr">
        <is>
          <t>d</t>
        </is>
      </c>
      <c r="I4" s="3" t="inlineStr">
        <is>
          <t>(d) Not implemented (whole or mandatory part)</t>
        </is>
      </c>
      <c r="J4" s="3" t="inlineStr">
        <is>
          <t>As G-12.</t>
        </is>
      </c>
      <c r="K4" s="3" t="inlineStr">
        <is>
          <t>consilium_core.tests.test_ai_features.TestGaps.test_forum_policy_regulatory_and_coverage_gaps_are_found; consilium_core.tests.test_portal_pages.TestAdministrator.test_every_page_renders_with_its_key_sections</t>
        </is>
      </c>
      <c r="L4" s="3" t="inlineStr">
        <is>
          <t>Pass (qualified)</t>
        </is>
      </c>
      <c r="M4" s="3" t="inlineStr">
        <is>
          <t>✅ (gap rule and page render; the matrix is counted in the browser and not tested)</t>
        </is>
      </c>
      <c r="N4" s="3" t="inlineStr">
        <is>
          <t>Direct test</t>
        </is>
      </c>
      <c r="O4" s="2" t="n">
        <v>4</v>
      </c>
      <c r="P4" s="3" t="inlineStr">
        <is>
          <t>Build + Native — custom dashboard screen over native chart/number sources.</t>
        </is>
      </c>
      <c r="Q4" s="2" t="inlineStr"/>
      <c r="R4" s="3" t="inlineStr">
        <is>
          <t>Class (d), No direct test</t>
        </is>
      </c>
      <c r="S4" s="3" t="inlineStr">
        <is>
          <t>E28</t>
        </is>
      </c>
      <c r="T4" s="2" t="n">
        <v>4</v>
      </c>
    </row>
    <row r="5" ht="30" customHeight="1">
      <c r="A5" s="2" t="inlineStr">
        <is>
          <t>O-4</t>
        </is>
      </c>
      <c r="B5" s="3" t="inlineStr">
        <is>
          <t>Supplementary</t>
        </is>
      </c>
      <c r="C5" s="2" t="inlineStr">
        <is>
          <t>Supplementary</t>
        </is>
      </c>
      <c r="D5" s="3" t="inlineStr">
        <is>
          <t>Automated notifications</t>
        </is>
      </c>
      <c r="E5" s="3" t="inlineStr"/>
      <c r="F5" s="3" t="inlineStr">
        <is>
          <t>Automated notifications.</t>
        </is>
      </c>
      <c r="G5" s="3" t="inlineStr">
        <is>
          <t>Same as G-14.</t>
        </is>
      </c>
      <c r="H5" s="2" t="inlineStr">
        <is>
          <t>d</t>
        </is>
      </c>
      <c r="I5" s="3" t="inlineStr">
        <is>
          <t>(d) Not implemented (whole or mandatory part)</t>
        </is>
      </c>
      <c r="J5" s="3" t="inlineStr">
        <is>
          <t>As G-14.</t>
        </is>
      </c>
      <c r="K5" s="3" t="inlineStr">
        <is>
          <t>As G-14.</t>
        </is>
      </c>
      <c r="L5" s="3" t="inlineStr">
        <is>
          <t>Pass (qualified)</t>
        </is>
      </c>
      <c r="M5" s="3" t="inlineStr">
        <is>
          <t>✅ (what exists)</t>
        </is>
      </c>
      <c r="N5" s="3" t="inlineStr">
        <is>
          <t>Direct test</t>
        </is>
      </c>
      <c r="O5" s="2" t="n"/>
      <c r="P5" s="3" t="inlineStr">
        <is>
          <t>Already Mandatory under G-14.</t>
        </is>
      </c>
      <c r="Q5" s="2" t="inlineStr"/>
      <c r="R5" s="3" t="inlineStr">
        <is>
          <t>Class (d)</t>
        </is>
      </c>
      <c r="S5" s="3" t="inlineStr">
        <is>
          <t>E29</t>
        </is>
      </c>
      <c r="T5" s="2" t="n">
        <v>2</v>
      </c>
    </row>
    <row r="6" ht="69" customHeight="1">
      <c r="A6" s="2" t="inlineStr">
        <is>
          <t>O-5</t>
        </is>
      </c>
      <c r="B6" s="3" t="inlineStr">
        <is>
          <t>Supplementary</t>
        </is>
      </c>
      <c r="C6" s="2" t="inlineStr">
        <is>
          <t>Supplementary</t>
        </is>
      </c>
      <c r="D6" s="3" t="inlineStr">
        <is>
          <t>Escalation tracking within the forum module</t>
        </is>
      </c>
      <c r="E6" s="3" t="inlineStr"/>
      <c r="F6" s="3" t="inlineStr">
        <is>
          <t>Escalation tracking and resolution within the forum module.</t>
        </is>
      </c>
      <c r="G6" s="3" t="inlineStr">
        <is>
          <t>/forum Escalations tab: "Escalations on this forum's pathway" (inventory.forum_escalations), with the forum's role, notified date and decision motion. It reads matters through the permitted list, so sensitive matters are shown only to cleared readers and never counted. Resolution happens on /escalation.</t>
        </is>
      </c>
      <c r="H6" s="2" t="inlineStr">
        <is>
          <t>a</t>
        </is>
      </c>
      <c r="I6" s="3" t="inlineStr">
        <is>
          <t>(a) Portal screen</t>
        </is>
      </c>
      <c r="J6" s="3" t="inlineStr">
        <is>
          <t>FRM-2026-00006 Operational Risk Committee has 8 pathway matters, including sensitive ESC-2026-00003 and ESC-2026-00004 (Decision).</t>
        </is>
      </c>
      <c r="K6" s="3" t="inlineStr">
        <is>
          <t>governance.tests.test_governance_gaps.TestForumEscalations (all 3), TestPages.test_the_pages_render_with_their_new_sections</t>
        </is>
      </c>
      <c r="L6" s="3" t="inlineStr">
        <is>
          <t>Pass</t>
        </is>
      </c>
      <c r="M6" s="3" t="inlineStr">
        <is>
          <t>✅</t>
        </is>
      </c>
      <c r="N6" s="3" t="inlineStr">
        <is>
          <t>Direct test</t>
        </is>
      </c>
      <c r="O6" s="2" t="n">
        <v>5</v>
      </c>
      <c r="P6" s="3" t="inlineStr">
        <is>
          <t>Satisfied by the in-database relationship to Escalation Matter (S-1).</t>
        </is>
      </c>
      <c r="Q6" s="2" t="inlineStr"/>
      <c r="R6" s="3" t="inlineStr"/>
      <c r="S6" s="3" t="inlineStr">
        <is>
          <t>E33</t>
        </is>
      </c>
      <c r="T6" s="2" t="n">
        <v>1</v>
      </c>
    </row>
    <row r="7" ht="160" customHeight="1">
      <c r="A7" s="2" t="inlineStr">
        <is>
          <t>O-6</t>
        </is>
      </c>
      <c r="B7" s="3" t="inlineStr">
        <is>
          <t>Supplementary</t>
        </is>
      </c>
      <c r="C7" s="2" t="inlineStr">
        <is>
          <t>Supplementary</t>
        </is>
      </c>
      <c r="D7" s="3" t="inlineStr">
        <is>
          <t>Real-time governance-gap detection and policy-change impact (external AI)</t>
        </is>
      </c>
      <c r="E7" s="3" t="inlineStr"/>
      <c r="F7" s="3" t="inlineStr">
        <is>
          <t>Real-time detection of governance gaps and impact assessment for policy changes.</t>
        </is>
      </c>
      <c r="G7" s="3" t="inlineStr">
        <is>
          <t>Rule-based first, no network: ai.gaps.detect (forum, policy, regulatory and coverage gaps; escalation types no rule names) on /governance-gaps; ai.impact.assess (lineage, applicability, regulation, forums, monitoring, violations, escalations, sections touched) in the Impact panel on /policy and /policy-impact. Optional AI commentary through one audited client (ai/client.py, shared with the help assistant) behind ai/guard.py: classification ceiling, sensitive and Restricted never sent, guidance-only tokens by default, analyst roles and hourly limit, every call an AI Service Request; off until an administrator sets endpoint and key in Admin → Integrations (Assistant Settings; request format "OpenAI-compatible API"; write-only key; Test connection); any failure falls back. Computed at page open over readable records.</t>
        </is>
      </c>
      <c r="H7" s="2" t="inlineStr">
        <is>
          <t>a</t>
        </is>
      </c>
      <c r="I7" s="3" t="inlineStr">
        <is>
          <t>(a) Portal screen</t>
        </is>
      </c>
      <c r="J7" s="3" t="inlineStr">
        <is>
          <t>Connected on the demo site to an OpenAI-compatible provider, guidance-only, classification ceiling Internal: 20 AI Service Request rows, all Succeeded (17 help-assistant answers with citations, 3 governance-gap commentaries), each at Internal classification. /governance-gaps finds 75 gaps (28 High); impact of GDOC-00007 reaches 7 lineage records, 2 forums, 1 regulation.</t>
        </is>
      </c>
      <c r="K7" s="3" t="inlineStr">
        <is>
          <t>consilium_core.tests.test_ai_features.TestGaps (all 3), TestImpact (all 11), TestGuard (all 4), TestClient (all 3), TestPages (all 1); consilium_core.tests.test_assistant.TestSettings (all 4), TestAIMode (all 8); consilium_core.tests.test_integrations.TestIntegrationsPage (all 14); consilium_core.tests.test_services.TestProvenance (all 4)</t>
        </is>
      </c>
      <c r="L7" s="3" t="inlineStr">
        <is>
          <t>Pass (qualified)</t>
        </is>
      </c>
      <c r="M7" s="3" t="inlineStr">
        <is>
          <t>✅ (automated tests use a stub endpoint; the live run is the demo site's request log)</t>
        </is>
      </c>
      <c r="N7" s="3" t="inlineStr">
        <is>
          <t>Direct test</t>
        </is>
      </c>
      <c r="O7" s="2" t="n">
        <v>56</v>
      </c>
      <c r="P7" s="3" t="inlineStr">
        <is>
          <t>External AI services — an outbound call with recorded provenance. Not a schema item.</t>
        </is>
      </c>
      <c r="Q7" s="2" t="inlineStr"/>
      <c r="R7" s="3" t="inlineStr">
        <is>
          <t>No direct test</t>
        </is>
      </c>
      <c r="S7" s="3" t="inlineStr">
        <is>
          <t>E22, E36</t>
        </is>
      </c>
      <c r="T7" s="2" t="n">
        <v>10</v>
      </c>
    </row>
    <row r="8" ht="147" customHeight="1">
      <c r="A8" s="2" t="inlineStr">
        <is>
          <t>O-7</t>
        </is>
      </c>
      <c r="B8" s="3" t="inlineStr">
        <is>
          <t>Supplementary</t>
        </is>
      </c>
      <c r="C8" s="2" t="inlineStr">
        <is>
          <t>Supplementary</t>
        </is>
      </c>
      <c r="D8" s="3" t="inlineStr">
        <is>
          <t>Regulatory updates, predictive analytics (external AI + regulatory import)</t>
        </is>
      </c>
      <c r="E8" s="3" t="inlineStr"/>
      <c r="F8" s="3" t="inlineStr">
        <is>
          <t>Real-time regulatory updates, predictive analytics for emerging risks and automated governance risk assessment.</t>
        </is>
      </c>
      <c r="G8" s="3" t="inlineStr">
        <is>
          <t>/regulatory-updates: recent changes, citing documents and forums, rule-based candidate documents and sections; record_change saves through the Regulatory Requirement controller, whose fan-out tells owners of citing documents and forums (P-6); file import through /imports with profile IMPP-00001 and policy.regulatory_import.prepare_changes, same fan-out; optional AI suggestions recorded and applied only on a person's accept (decide, AI Suggestion Acceptance with version). /emerging-risks: trends (slope, z-score) and leading indicators over escalations, violations, monitoring and SLA breaches. Governance risk scores with configurable weights on /governance-gaps (ai.scoring.assess). Same guard and client as O-6.</t>
        </is>
      </c>
      <c r="H8" s="2" t="inlineStr">
        <is>
          <t>a</t>
        </is>
      </c>
      <c r="I8" s="3" t="inlineStr">
        <is>
          <t>(a) Portal screen</t>
        </is>
      </c>
      <c r="J8" s="3" t="inlineStr">
        <is>
          <t>REQ_OP_RESILIENCE changed 2026-09-18, cited by GDOC-00007, owner notified; 12 requirements; /emerging-risks 7 rising series, 7 indicators; scores for 13 forums and 14 policies. The AI endpoint is connected (see O-6), but no regulatory suggestion has been requested through it on the demo site. The horizon-scanning platform is reached through /horizon-scanning.</t>
        </is>
      </c>
      <c r="K8" s="3" t="inlineStr">
        <is>
          <t>consilium_core.tests.test_ai_features.TestRegulatory (all 8), TestTrends (all 4), TestScoring (all 3), TestPages (all 1); consilium_core.tests.test_regulatory_change.TestRegulatoryChangeFanOut (all 6); consilium_core.tests.test_integrations.TestHorizonScanning (all 3)</t>
        </is>
      </c>
      <c r="L8" s="3" t="inlineStr">
        <is>
          <t>Pass (qualified)</t>
        </is>
      </c>
      <c r="M8" s="3" t="inlineStr">
        <is>
          <t>✅ (AI suggestions tested against a stub endpoint only)</t>
        </is>
      </c>
      <c r="N8" s="3" t="inlineStr">
        <is>
          <t>Direct test</t>
        </is>
      </c>
      <c r="O8" s="2" t="n">
        <v>28</v>
      </c>
      <c r="P8" s="3" t="inlineStr">
        <is>
          <t>External AI services plus the manual regulatory-change import path. Not a schema item.</t>
        </is>
      </c>
      <c r="Q8" s="2" t="inlineStr"/>
      <c r="R8" s="3" t="inlineStr">
        <is>
          <t>No direct test</t>
        </is>
      </c>
      <c r="S8" s="3" t="inlineStr">
        <is>
          <t>E22, E29, E36</t>
        </is>
      </c>
      <c r="T8" s="2" t="n">
        <v>13</v>
      </c>
    </row>
  </sheetData>
  <conditionalFormatting sqref="H2:H8">
    <cfRule type="expression" priority="1" dxfId="0" stopIfTrue="1">
      <formula>H2="a"</formula>
    </cfRule>
    <cfRule type="expression" priority="2" dxfId="1" stopIfTrue="1">
      <formula>H2="b"</formula>
    </cfRule>
    <cfRule type="expression" priority="3" dxfId="2" stopIfTrue="1">
      <formula>H2="c"</formula>
    </cfRule>
    <cfRule type="expression" priority="4" dxfId="3" stopIfTrue="1">
      <formula>H2="d"</formula>
    </cfRule>
  </conditionalFormatting>
  <conditionalFormatting sqref="L2:L8">
    <cfRule type="expression" priority="5" dxfId="0" stopIfTrue="1">
      <formula>L2="Pass"</formula>
    </cfRule>
    <cfRule type="expression" priority="6" dxfId="4" stopIfTrue="1">
      <formula>L2="Pass (qualified)"</formula>
    </cfRule>
    <cfRule type="expression" priority="7" dxfId="2" stopIfTrue="1">
      <formula>L2="No direct test"</formula>
    </cfRule>
    <cfRule type="expression" priority="8" dxfId="3" stopIfTrue="1">
      <formula>L2="Fail"</formula>
    </cfRule>
  </conditionalFormatting>
  <conditionalFormatting sqref="N2:N8">
    <cfRule type="expression" priority="9" dxfId="2" stopIfTrue="1">
      <formula>N2="No direct test"</formula>
    </cfRule>
    <cfRule type="expression" priority="10" dxfId="3" stopIfTrue="1">
      <formula>N2="Failing test"</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G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6" customWidth="1" min="3" max="3"/>
    <col width="18" customWidth="1" min="4" max="4"/>
    <col width="13" customWidth="1" min="5" max="5"/>
    <col width="60" customWidth="1" min="6" max="6"/>
    <col width="60" customWidth="1" min="7" max="7"/>
  </cols>
  <sheetData>
    <row r="1" ht="30" customHeight="1">
      <c r="A1" s="1" t="inlineStr">
        <is>
          <t>Gap list</t>
        </is>
      </c>
      <c r="B1" s="1" t="inlineStr">
        <is>
          <t>Section in source</t>
        </is>
      </c>
      <c r="C1" s="1" t="inlineStr">
        <is>
          <t>IDs</t>
        </is>
      </c>
      <c r="D1" s="1" t="inlineStr">
        <is>
          <t>Requirement ids (parsed)</t>
        </is>
      </c>
      <c r="E1" s="1" t="inlineStr">
        <is>
          <t>Classes of those ids</t>
        </is>
      </c>
      <c r="F1" s="1" t="inlineStr">
        <is>
          <t>Missing / situation</t>
        </is>
      </c>
      <c r="G1" s="1" t="inlineStr">
        <is>
          <t>What would close it</t>
        </is>
      </c>
    </row>
    <row r="2" ht="43" customHeight="1">
      <c r="A2" s="3" t="inlineStr">
        <is>
          <t>Class (d)</t>
        </is>
      </c>
      <c r="B2" s="3" t="inlineStr">
        <is>
          <t>4.1 Class (d): not implemented, wholly or in a mandatory clause</t>
        </is>
      </c>
      <c r="C2" s="3" t="inlineStr">
        <is>
          <t>G-8</t>
        </is>
      </c>
      <c r="D2" s="3" t="inlineStr">
        <is>
          <t>G-8</t>
        </is>
      </c>
      <c r="E2" s="2" t="inlineStr">
        <is>
          <t>d</t>
        </is>
      </c>
      <c r="F2" s="3" t="inlineStr">
        <is>
          <t>Approval path chosen by forum type and by materiality of change. formation.resolve_route matches only request_type.</t>
        </is>
      </c>
      <c r="G2" s="3" t="inlineStr">
        <is>
          <t>Add forum_type (and a materiality select captured at intake) to Formation Approval Route, choose the most specific match in resolve_route, and test that two forum types raise different steps.</t>
        </is>
      </c>
    </row>
    <row r="3" ht="43" customHeight="1">
      <c r="A3" s="3" t="inlineStr">
        <is>
          <t>Class (d)</t>
        </is>
      </c>
      <c r="B3" s="3" t="inlineStr">
        <is>
          <t>4.1 Class (d): not implemented, wholly or in a mandatory clause</t>
        </is>
      </c>
      <c r="C3" s="3" t="inlineStr">
        <is>
          <t>G-10</t>
        </is>
      </c>
      <c r="D3" s="3" t="inlineStr">
        <is>
          <t>G-10</t>
        </is>
      </c>
      <c r="E3" s="2" t="inlineStr">
        <is>
          <t>d</t>
        </is>
      </c>
      <c r="F3" s="3" t="inlineStr">
        <is>
          <t>First-quarter enforcement of the annual inventory attestation. Opening is manual at any date; the 2026 demo campaign opened in August.</t>
        </is>
      </c>
      <c r="G3" s="3" t="inlineStr">
        <is>
          <t>A scheduled job (or a validated default) that opens the Forum Inventory campaign in Q1 with a Q1 due date. Flag a year with no Q1 campaign on /attestation-campaigns and /reports.</t>
        </is>
      </c>
    </row>
    <row r="4" ht="43" customHeight="1">
      <c r="A4" s="3" t="inlineStr">
        <is>
          <t>Class (d)</t>
        </is>
      </c>
      <c r="B4" s="3" t="inlineStr">
        <is>
          <t>4.1 Class (d): not implemented, wholly or in a mandatory clause</t>
        </is>
      </c>
      <c r="C4" s="3" t="inlineStr">
        <is>
          <t>G-14, O-4</t>
        </is>
      </c>
      <c r="D4" s="3" t="inlineStr">
        <is>
          <t>G-14, O-4</t>
        </is>
      </c>
      <c r="E4" s="2" t="inlineStr">
        <is>
          <t>d</t>
        </is>
      </c>
      <c r="F4" s="3" t="inlineStr">
        <is>
          <t>Meeting-schedule and charter-review notifications.</t>
        </is>
      </c>
      <c r="G4" s="3" t="inlineStr">
        <is>
          <t>Add events and templates for a scheduled or rescheduled Forum Meeting and for charter challenge and charter review due, raised through notification.notify.</t>
        </is>
      </c>
    </row>
    <row r="5" ht="43" customHeight="1">
      <c r="A5" s="3" t="inlineStr">
        <is>
          <t>Class (d)</t>
        </is>
      </c>
      <c r="B5" s="3" t="inlineStr">
        <is>
          <t>4.1 Class (d): not implemented, wholly or in a mandatory clause</t>
        </is>
      </c>
      <c r="C5" s="3" t="inlineStr">
        <is>
          <t>O-3</t>
        </is>
      </c>
      <c r="D5" s="3" t="inlineStr">
        <is>
          <t>O-3</t>
        </is>
      </c>
      <c r="E5" s="2" t="inlineStr">
        <is>
          <t>d</t>
        </is>
      </c>
      <c r="F5" s="3" t="inlineStr">
        <is>
          <t>Dashboard customisation.</t>
        </is>
      </c>
      <c r="G5" s="3" t="inlineStr">
        <is>
          <t>Let a viewer choose and save which sections and dimensions /reports shows (per-user state), or ship Dashboard Charts and Number Cards on the Governance workspace so desk users can compose their own.</t>
        </is>
      </c>
    </row>
    <row r="6" ht="82" customHeight="1">
      <c r="A6" s="3" t="inlineStr">
        <is>
          <t>Class (d)</t>
        </is>
      </c>
      <c r="B6" s="3" t="inlineStr">
        <is>
          <t>4.1 Class (d): not implemented, wholly or in a mandatory clause</t>
        </is>
      </c>
      <c r="C6" s="3" t="inlineStr">
        <is>
          <t>P-8</t>
        </is>
      </c>
      <c r="D6" s="3" t="inlineStr">
        <is>
          <t>P-8</t>
        </is>
      </c>
      <c r="E6" s="2" t="inlineStr">
        <is>
          <t>d</t>
        </is>
      </c>
      <c r="F6" s="3" t="inlineStr">
        <is>
          <t>Reminders and escalation for approval steps left pending: no job reads open Approval Decision rows, and the phase SLA warns only the document owner. There is also no routing of policy approval steps to a user group or role queue: required_role is stored but unused for policy steps.</t>
        </is>
      </c>
      <c r="G6" s="3" t="inlineStr">
        <is>
          <t>A daily section in consilium_core/reminders.py over open Approval Decisions (due from the step's SLA or a configured lag), telling the assignee and escalating to the document approver or sponsor, de-duplicated through Reminder Log. Add a "Role Queue" / "User Group" assignee_source to Approval Route Step, reusing the formation role-queue pattern (governance/formation.py).</t>
        </is>
      </c>
    </row>
    <row r="7" ht="56" customHeight="1">
      <c r="A7" s="3" t="inlineStr">
        <is>
          <t>Class (d)</t>
        </is>
      </c>
      <c r="B7" s="3" t="inlineStr">
        <is>
          <t>4.1 Class (d): not implemented, wholly or in a mandatory clause</t>
        </is>
      </c>
      <c r="C7" s="3" t="inlineStr">
        <is>
          <t>E-8</t>
        </is>
      </c>
      <c r="D7" s="3" t="inlineStr">
        <is>
          <t>E-8</t>
        </is>
      </c>
      <c r="E7" s="2" t="inlineStr">
        <is>
          <t>d</t>
        </is>
      </c>
      <c r="F7" s="3" t="inlineStr">
        <is>
          <t>Workflow configurable by matter type and severity. The set of states is configuration, but moves are the same for every type and severity: the stage's role may move an open matter to any other open state. No Workflow exists on Escalation Matter.</t>
        </is>
      </c>
      <c r="G7" s="3" t="inlineStr">
        <is>
          <t>Configurable allowed transitions per type and severity (for example a transition table keyed by type and severity, or a framework Workflow with transition conditions), read by resolution.status_targets and enforced in move_matter_status.</t>
        </is>
      </c>
    </row>
    <row r="8" ht="56" customHeight="1">
      <c r="A8" s="3" t="inlineStr">
        <is>
          <t>Class (d)</t>
        </is>
      </c>
      <c r="B8" s="3" t="inlineStr">
        <is>
          <t>4.1 Class (d): not implemented, wholly or in a mandatory clause</t>
        </is>
      </c>
      <c r="C8" s="3" t="inlineStr">
        <is>
          <t>E-9</t>
        </is>
      </c>
      <c r="D8" s="3" t="inlineStr">
        <is>
          <t>E-9</t>
        </is>
      </c>
      <c r="E8" s="2" t="inlineStr">
        <is>
          <t>d</t>
        </is>
      </c>
      <c r="F8" s="3" t="inlineStr">
        <is>
          <t>Configurable sequential or parallel approvals aligned to type, severity and hierarchy. A risk acceptance has one named approver (or a forum motion); a second request is refused; no chain is configured per type or severity.</t>
        </is>
      </c>
      <c r="G8" s="3" t="inlineStr">
        <is>
          <t>Resolve an approval route for a risk acceptance (and, if wanted, the matter) from configuration keyed by type and severity, raising several Approval Decision steps through Core's sequential or parallel mode, as policy routes already do.</t>
        </is>
      </c>
    </row>
    <row r="9" ht="43" customHeight="1">
      <c r="A9" s="3" t="inlineStr">
        <is>
          <t>Class (c)</t>
        </is>
      </c>
      <c r="B9" s="3" t="inlineStr">
        <is>
          <t>4.2 Class (c): backend exists, a step has no screen</t>
        </is>
      </c>
      <c r="C9" s="3" t="inlineStr">
        <is>
          <t>G-12</t>
        </is>
      </c>
      <c r="D9" s="3" t="inlineStr">
        <is>
          <t>G-12</t>
        </is>
      </c>
      <c r="E9" s="2" t="inlineStr">
        <is>
          <t>c</t>
        </is>
      </c>
      <c r="F9" s="3" t="inlineStr">
        <is>
          <t>No service-level performance view for forums or formation. No test of any forum figure. (The forum list now exports to CSV.)</t>
        </is>
      </c>
      <c r="G9" s="3" t="inlineStr">
        <is>
          <t>Configure SLA Definitions on Committee Formation Request (and forum reviews) and add an SLA section to /reports. Add a server-side test that two roles see different forum totals.</t>
        </is>
      </c>
    </row>
    <row r="10" ht="43" customHeight="1">
      <c r="A10" s="3" t="inlineStr">
        <is>
          <t>Class (c)</t>
        </is>
      </c>
      <c r="B10" s="3" t="inlineStr">
        <is>
          <t>4.2 Class (c): backend exists, a step has no screen</t>
        </is>
      </c>
      <c r="C10" s="3" t="inlineStr">
        <is>
          <t>G-13</t>
        </is>
      </c>
      <c r="D10" s="3" t="inlineStr">
        <is>
          <t>G-13</t>
        </is>
      </c>
      <c r="E10" s="2" t="inlineStr">
        <is>
          <t>c</t>
        </is>
      </c>
      <c r="F10" s="3" t="inlineStr">
        <is>
          <t>Chairs and sponsors cannot record a delegate nomination themselves; Authority Delegation create is administrator-only.</t>
        </is>
      </c>
      <c r="G10" s="3" t="inlineStr">
        <is>
          <t>A "Nominate a delegate" action on /forum for the chair, sponsor and secretary, creating a scoped Authority Delegation (or a request an administrator approves).</t>
        </is>
      </c>
    </row>
    <row r="11" ht="56" customHeight="1">
      <c r="A11" s="3" t="inlineStr">
        <is>
          <t>Class (c)</t>
        </is>
      </c>
      <c r="B11" s="3" t="inlineStr">
        <is>
          <t>4.2 Class (c): backend exists, a step has no screen</t>
        </is>
      </c>
      <c r="C11" s="3" t="inlineStr">
        <is>
          <t>G-16</t>
        </is>
      </c>
      <c r="D11" s="3" t="inlineStr">
        <is>
          <t>G-16</t>
        </is>
      </c>
      <c r="E11" s="2" t="inlineStr">
        <is>
          <t>c</t>
        </is>
      </c>
      <c r="F11" s="3" t="inlineStr">
        <is>
          <t>Archive Record is never created by application code. execute_disposition and release_hold have no caller. No retention assignment exists on the demo site.</t>
        </is>
      </c>
      <c r="G11" s="3" t="inlineStr">
        <is>
          <t>Archive on the retention trigger (for example disbandment or document retirement). Add whitelisted approve/execute disposition and release-hold actions (desk buttons or a records screen). Seed demo Retention Assignments so WORM visibly applies to minutes.</t>
        </is>
      </c>
    </row>
    <row r="12" ht="43" customHeight="1">
      <c r="A12" s="3" t="inlineStr">
        <is>
          <t>Class (c)</t>
        </is>
      </c>
      <c r="B12" s="3" t="inlineStr">
        <is>
          <t>4.2 Class (c): backend exists, a step has no screen</t>
        </is>
      </c>
      <c r="C12" s="3" t="inlineStr">
        <is>
          <t>G-19</t>
        </is>
      </c>
      <c r="D12" s="3" t="inlineStr">
        <is>
          <t>G-19</t>
        </is>
      </c>
      <c r="E12" s="2" t="inlineStr">
        <is>
          <t>c</t>
        </is>
      </c>
      <c r="F12" s="3" t="inlineStr">
        <is>
          <t>importing.export_records has no caller, so no outbound forum export file. No governance import profile.</t>
        </is>
      </c>
      <c r="G12" s="3" t="inlineStr">
        <is>
          <t>An export action (on /imports or /forums) over a forum export profile, recording an Export Batch. Seed a forum or external-reference import profile.</t>
        </is>
      </c>
    </row>
    <row r="13" ht="43" customHeight="1">
      <c r="A13" s="3" t="inlineStr">
        <is>
          <t>Class (c)</t>
        </is>
      </c>
      <c r="B13" s="3" t="inlineStr">
        <is>
          <t>4.2 Class (c): backend exists, a step has no screen</t>
        </is>
      </c>
      <c r="C13" s="3" t="inlineStr">
        <is>
          <t>P-5</t>
        </is>
      </c>
      <c r="D13" s="3" t="inlineStr">
        <is>
          <t>P-5</t>
        </is>
      </c>
      <c r="E13" s="2" t="inlineStr">
        <is>
          <t>c</t>
        </is>
      </c>
      <c r="F13" s="3" t="inlineStr">
        <is>
          <t>Foreign risk-programme links (risks, controls, processes, training, issues as External Reference) are desk-only and not shown on /policy. No import profile exists for them.</t>
        </is>
      </c>
      <c r="G13" s="3" t="inlineStr">
        <is>
          <t>A "Linked risk-programme records" panel on /policy listing External References for the document. Seed an import profile for External Reference against Governing Document.</t>
        </is>
      </c>
    </row>
    <row r="14" ht="43" customHeight="1">
      <c r="A14" s="3" t="inlineStr">
        <is>
          <t>Class (c)</t>
        </is>
      </c>
      <c r="B14" s="3" t="inlineStr">
        <is>
          <t>4.2 Class (c): backend exists, a step has no screen</t>
        </is>
      </c>
      <c r="C14" s="3" t="inlineStr">
        <is>
          <t>P-18</t>
        </is>
      </c>
      <c r="D14" s="3" t="inlineStr">
        <is>
          <t>P-18</t>
        </is>
      </c>
      <c r="E14" s="2" t="inlineStr">
        <is>
          <t>c</t>
        </is>
      </c>
      <c r="F14" s="3" t="inlineStr">
        <is>
          <t>retention.execute_disposition (approved disposal) has no caller outside tests. There are no retention assignments on the demo.</t>
        </is>
      </c>
      <c r="G14" s="3" t="inlineStr">
        <is>
          <t>A whitelisted execute action for records managers (desk button or /reports list of flagged Disposition Events). Seed a POL-DOCUMENT Retention Assignment in the demo.</t>
        </is>
      </c>
    </row>
    <row r="15" ht="43" customHeight="1">
      <c r="A15" s="3" t="inlineStr">
        <is>
          <t>Class (c)</t>
        </is>
      </c>
      <c r="B15" s="3" t="inlineStr">
        <is>
          <t>4.2 Class (c): backend exists, a step has no screen</t>
        </is>
      </c>
      <c r="C15" s="3" t="inlineStr">
        <is>
          <t>P-20</t>
        </is>
      </c>
      <c r="D15" s="3" t="inlineStr">
        <is>
          <t>P-20</t>
        </is>
      </c>
      <c r="E15" s="2" t="inlineStr">
        <is>
          <t>c</t>
        </is>
      </c>
      <c r="F15" s="3" t="inlineStr">
        <is>
          <t>The governed outbound export (importing.export_records → Export Batch) has no caller. The policy CSV export is not batch-logged or mapped.</t>
        </is>
      </c>
      <c r="G15" s="3" t="inlineStr">
        <is>
          <t>Route reporting.export (and a document-register export) through export_records so each export is an Export Batch with its profile and hash. Add an export action on /imports or /reports.</t>
        </is>
      </c>
    </row>
    <row r="16" ht="43" customHeight="1">
      <c r="A16" s="3" t="inlineStr">
        <is>
          <t>Class (c)</t>
        </is>
      </c>
      <c r="B16" s="3" t="inlineStr">
        <is>
          <t>4.2 Class (c): backend exists, a step has no screen</t>
        </is>
      </c>
      <c r="C16" s="3" t="inlineStr">
        <is>
          <t>E-18</t>
        </is>
      </c>
      <c r="D16" s="3" t="inlineStr">
        <is>
          <t>E-18</t>
        </is>
      </c>
      <c r="E16" s="2" t="inlineStr">
        <is>
          <t>c</t>
        </is>
      </c>
      <c r="F16" s="3" t="inlineStr">
        <is>
          <t>Disposal execution and legal-hold release are reachable only from code; no retention assignment on the demo, so WORM is never visible there.</t>
        </is>
      </c>
      <c r="G16" s="3" t="inlineStr">
        <is>
          <t>Whitelisted, role-checked actions for executing an approved disposition and releasing a hold (desk button or portal); seed an ESC-MATTER retention assignment in the demo.</t>
        </is>
      </c>
    </row>
    <row r="17" ht="30" customHeight="1">
      <c r="A17" s="3" t="inlineStr">
        <is>
          <t>Class (c)</t>
        </is>
      </c>
      <c r="B17" s="3" t="inlineStr">
        <is>
          <t>4.2 Class (c): backend exists, a step has no screen</t>
        </is>
      </c>
      <c r="C17" s="3" t="inlineStr">
        <is>
          <t>E-19</t>
        </is>
      </c>
      <c r="D17" s="3" t="inlineStr">
        <is>
          <t>E-19</t>
        </is>
      </c>
      <c r="E17" s="2" t="inlineStr">
        <is>
          <t>c</t>
        </is>
      </c>
      <c r="F17" s="3" t="inlineStr">
        <is>
          <t>Outbound export and its linkage register (export_records, Export Batch) have no screen or endpoint.</t>
        </is>
      </c>
      <c r="G17" s="3" t="inlineStr">
        <is>
          <t>An export action (on /imports or /escalations) that calls export_records with the caller's permissions and downloads the file.</t>
        </is>
      </c>
    </row>
    <row r="18" ht="30" customHeight="1">
      <c r="A18" s="3" t="inlineStr">
        <is>
          <t>No direct test</t>
        </is>
      </c>
      <c r="B18" s="3" t="inlineStr">
        <is>
          <t>4.3 Tests that cover only part of a requirement (no test fails)</t>
        </is>
      </c>
      <c r="C18" s="3" t="inlineStr">
        <is>
          <t>G-12, O-3</t>
        </is>
      </c>
      <c r="D18" s="3" t="inlineStr">
        <is>
          <t>G-12, O-3</t>
        </is>
      </c>
      <c r="E18" s="2" t="inlineStr">
        <is>
          <t>c, d</t>
        </is>
      </c>
      <c r="F18" s="3" t="inlineStr">
        <is>
          <t>No test of any forum figure on /reports or home; the coverage matrix is counted in the browser. The gap rule and page render are tested.</t>
        </is>
      </c>
      <c r="G18" s="3" t="inlineStr">
        <is>
          <t>A server-side test that two roles see different forum totals (E20-S5).</t>
        </is>
      </c>
    </row>
    <row r="19" ht="30" customHeight="1">
      <c r="A19" s="3" t="inlineStr">
        <is>
          <t>No direct test</t>
        </is>
      </c>
      <c r="B19" s="3" t="inlineStr">
        <is>
          <t>4.3 Tests that cover only part of a requirement (no test fails)</t>
        </is>
      </c>
      <c r="C19" s="3" t="inlineStr">
        <is>
          <t>P-12</t>
        </is>
      </c>
      <c r="D19" s="3" t="inlineStr">
        <is>
          <t>P-12</t>
        </is>
      </c>
      <c r="E19" s="2" t="inlineStr">
        <is>
          <t>a</t>
        </is>
      </c>
      <c r="F19" s="3" t="inlineStr">
        <is>
          <t>The browser-side document counts are covered only by the page-render tests; the report sections and CSV are tested.</t>
        </is>
      </c>
      <c r="G19" s="3" t="inlineStr">
        <is>
          <t>Tests on the counts behind the documents section.</t>
        </is>
      </c>
    </row>
    <row r="20" ht="30" customHeight="1">
      <c r="A20" s="3" t="inlineStr">
        <is>
          <t>No direct test</t>
        </is>
      </c>
      <c r="B20" s="3" t="inlineStr">
        <is>
          <t>4.3 Tests that cover only part of a requirement (no test fails)</t>
        </is>
      </c>
      <c r="C20" s="3" t="inlineStr">
        <is>
          <t>P-5</t>
        </is>
      </c>
      <c r="D20" s="3" t="inlineStr">
        <is>
          <t>P-5</t>
        </is>
      </c>
      <c r="E20" s="2" t="inlineStr">
        <is>
          <t>c</t>
        </is>
      </c>
      <c r="F20" s="3" t="inlineStr">
        <is>
          <t>No test of external references shown on a document (none are shown).</t>
        </is>
      </c>
      <c r="G20" s="3" t="inlineStr">
        <is>
          <t>Build the panel (§4.2), then test it.</t>
        </is>
      </c>
    </row>
    <row r="21" ht="30" customHeight="1">
      <c r="A21" s="3" t="inlineStr">
        <is>
          <t>No direct test</t>
        </is>
      </c>
      <c r="B21" s="3" t="inlineStr">
        <is>
          <t>4.3 Tests that cover only part of a requirement (no test fails)</t>
        </is>
      </c>
      <c r="C21" s="3" t="inlineStr">
        <is>
          <t>P-17</t>
        </is>
      </c>
      <c r="D21" s="3" t="inlineStr">
        <is>
          <t>P-17</t>
        </is>
      </c>
      <c r="E21" s="2" t="inlineStr">
        <is>
          <t>b</t>
        </is>
      </c>
      <c r="F21" s="3" t="inlineStr">
        <is>
          <t>Change tracking is switched on; the framework writes no Version rows under test.</t>
        </is>
      </c>
      <c r="G21" s="3" t="inlineStr">
        <is>
          <t>An attachment and version-log test on Governing Document outside the test-mode short-cut.</t>
        </is>
      </c>
    </row>
    <row r="22" ht="56" customHeight="1">
      <c r="A22" s="3" t="inlineStr">
        <is>
          <t>No direct test</t>
        </is>
      </c>
      <c r="B22" s="3" t="inlineStr">
        <is>
          <t>4.3 Tests that cover only part of a requirement (no test fails)</t>
        </is>
      </c>
      <c r="C22" s="3" t="inlineStr">
        <is>
          <t>O-6, O-7</t>
        </is>
      </c>
      <c r="D22" s="3" t="inlineStr">
        <is>
          <t>O-6, O-7</t>
        </is>
      </c>
      <c r="E22" s="2" t="inlineStr">
        <is>
          <t>a</t>
        </is>
      </c>
      <c r="F22" s="3" t="inlineStr">
        <is>
          <t>The automated tests drive the AI path against a stub endpoint; the rule-based results are tested directly. The live path has been exercised on the demo site (20 logged requests through an OpenAI-compatible provider), but not for regulatory suggestions.</t>
        </is>
      </c>
      <c r="G22" s="3" t="inlineStr">
        <is>
          <t>Repeat the live run against the organisation's approved endpoint in the target environment.</t>
        </is>
      </c>
    </row>
    <row r="23" ht="30" customHeight="1">
      <c r="A23" s="3" t="inlineStr">
        <is>
          <t>No direct test</t>
        </is>
      </c>
      <c r="B23" s="3" t="inlineStr">
        <is>
          <t>4.3 Tests that cover only part of a requirement (no test fails)</t>
        </is>
      </c>
      <c r="C23" s="3" t="inlineStr">
        <is>
          <t>G-8, G-10, G-14, P-8, E-8, E-9</t>
        </is>
      </c>
      <c r="D23" s="3" t="inlineStr">
        <is>
          <t>G-8, G-10, G-14, P-8, E-8, E-9</t>
        </is>
      </c>
      <c r="E23" s="2" t="inlineStr">
        <is>
          <t>d</t>
        </is>
      </c>
      <c r="F23" s="3" t="inlineStr">
        <is>
          <t>The missing clauses are not implemented, so nothing tests them.</t>
        </is>
      </c>
      <c r="G23" s="3" t="inlineStr">
        <is>
          <t>§4.1.</t>
        </is>
      </c>
    </row>
  </sheetData>
  <conditionalFormatting sqref="A2:A23">
    <cfRule type="expression" priority="1" dxfId="3" stopIfTrue="1">
      <formula>A2="Class (d)"</formula>
    </cfRule>
    <cfRule type="expression" priority="2" dxfId="2" stopIfTrue="1">
      <formula>A2="Class (c)"</formula>
    </cfRule>
    <cfRule type="expression" priority="3" dxfId="2" stopIfTrue="1">
      <formula>A2="No direct test"</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G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42" customWidth="1" min="3" max="3"/>
    <col width="22" customWidth="1" min="4" max="4"/>
    <col width="13" customWidth="1" min="5" max="5"/>
    <col width="60" customWidth="1" min="6" max="6"/>
    <col width="34" customWidth="1" min="7" max="7"/>
  </cols>
  <sheetData>
    <row r="1" ht="30" customHeight="1">
      <c r="A1" s="1" t="inlineStr">
        <is>
          <t>Key</t>
        </is>
      </c>
      <c r="B1" s="1" t="inlineStr">
        <is>
          <t>Surface</t>
        </is>
      </c>
      <c r="C1" s="1" t="inlineStr">
        <is>
          <t>Exists as</t>
        </is>
      </c>
      <c r="D1" s="1" t="inlineStr">
        <is>
          <t>Routes</t>
        </is>
      </c>
      <c r="E1" s="1" t="inlineStr">
        <is>
          <t>Status</t>
        </is>
      </c>
      <c r="F1" s="1" t="inlineStr">
        <is>
          <t>Acts or views</t>
        </is>
      </c>
      <c r="G1" s="1" t="inlineStr">
        <is>
          <t>Requirements whose 'What satisfies it' names these routes</t>
        </is>
      </c>
    </row>
    <row r="2" ht="95" customHeight="1">
      <c r="A2" s="2" t="inlineStr">
        <is>
          <t>—</t>
        </is>
      </c>
      <c r="B2" s="3" t="inlineStr">
        <is>
          <t>Header and navigation (every portal page)</t>
        </is>
      </c>
      <c r="C2" s="3" t="inlineStr">
        <is>
          <t>templates/base_portal.html; consilium_core/navigation.py (cns_nav)</t>
        </is>
      </c>
      <c r="D2" s="3" t="inlineStr"/>
      <c r="E2" s="2" t="inlineStr">
        <is>
          <t>Built</t>
        </is>
      </c>
      <c r="F2" s="3" t="inlineStr">
        <is>
          <t>A two-row header: brand, global search, text size, theme, user menu. Menus: Home, My work (with a count badge), Governance, Policies, Escalations, Insights, Admin. Each menu opens a panel of sub-pages and filtered views, each with a one-line description. Menus and items are filtered by role and read permission, so nobody is offered a dead end. Keyboard accessible, with a slide-out menu on phones. Dates and times carry their time-zone label.</t>
        </is>
      </c>
      <c r="G2" s="3" t="inlineStr"/>
    </row>
    <row r="3" ht="56" customHeight="1">
      <c r="A3" s="2" t="inlineStr">
        <is>
          <t>—</t>
        </is>
      </c>
      <c r="B3" s="3" t="inlineStr">
        <is>
          <t>Global search</t>
        </is>
      </c>
      <c r="C3" s="3" t="inlineStr">
        <is>
          <t>Header box ("/" or Ctrl/Cmd+K); consilium_core/search.py</t>
        </is>
      </c>
      <c r="D3" s="3" t="inlineStr"/>
      <c r="E3" s="2" t="inlineStr">
        <is>
          <t>Built</t>
        </is>
      </c>
      <c r="F3" s="3" t="inlineStr">
        <is>
          <t>View. Forums, policies and escalations by identifier and title. Every row comes from permission-filtered frappe.get_list, so confidential documents and sensitive matters are left out for those not cleared. "See all" goes to /forums?q=, /policies or /escalations?q=.</t>
        </is>
      </c>
      <c r="G3" s="3" t="inlineStr"/>
    </row>
    <row r="4" ht="43" customHeight="1">
      <c r="A4" s="2" t="inlineStr">
        <is>
          <t>CS-1</t>
        </is>
      </c>
      <c r="B4" s="3" t="inlineStr">
        <is>
          <t>Home + user guide</t>
        </is>
      </c>
      <c r="C4" s="3" t="inlineStr">
        <is>
          <t>/ (index)</t>
        </is>
      </c>
      <c r="D4" s="3" t="inlineStr">
        <is>
          <t>/</t>
        </is>
      </c>
      <c r="E4" s="2" t="inlineStr">
        <is>
          <t>Built</t>
        </is>
      </c>
      <c r="F4" s="3" t="inlineStr">
        <is>
          <t>View. Guide text comes from Guide Article, with built-in fallback. Compliance and category counts. Enterprise forum map (inventory.forum_map, O-2): only forums the viewer may read.</t>
        </is>
      </c>
      <c r="G4" s="3" t="inlineStr">
        <is>
          <t>O-1</t>
        </is>
      </c>
    </row>
    <row r="5" ht="56" customHeight="1">
      <c r="A5" s="2" t="inlineStr">
        <is>
          <t>CS-2</t>
        </is>
      </c>
      <c r="B5" s="3" t="inlineStr">
        <is>
          <t>Forum register</t>
        </is>
      </c>
      <c r="C5" s="3" t="inlineStr">
        <is>
          <t>/forums</t>
        </is>
      </c>
      <c r="D5" s="3" t="inlineStr">
        <is>
          <t>/forums</t>
        </is>
      </c>
      <c r="E5" s="2" t="inlineStr">
        <is>
          <t>Built</t>
        </is>
      </c>
      <c r="F5" s="3" t="inlineStr">
        <is>
          <t>View: filter, sort, search (also from ?q=) and paging. Filters include the four multi-valued tag dimensions (inventory.inventory_filters, tagged_forum_names). Retired values are marked. Export CSV of the matching rows.</t>
        </is>
      </c>
      <c r="G5" s="3" t="inlineStr">
        <is>
          <t>G-1, G-2, G-12</t>
        </is>
      </c>
    </row>
    <row r="6" ht="82" customHeight="1">
      <c r="A6" s="2" t="inlineStr">
        <is>
          <t>CS-3</t>
        </is>
      </c>
      <c r="B6" s="3" t="inlineStr">
        <is>
          <t>Forum detail + interconnectivity</t>
        </is>
      </c>
      <c r="C6" s="3" t="inlineStr">
        <is>
          <t>/forum?name=</t>
        </is>
      </c>
      <c r="D6" s="3" t="inlineStr">
        <is>
          <t>/forum</t>
        </is>
      </c>
      <c r="E6" s="2" t="inlineStr">
        <is>
          <t>Built</t>
        </is>
      </c>
      <c r="F6" s="3" t="inlineStr">
        <is>
          <t>Acts. Tabs: Details; Membership as at a date; Linkages (SVG); Documents (charter: start, new version, challenge); Decisions (motions, sittings, link to /forum-motion); Escalations (O-5); History (revisions with Revert, record history including notifications). Export evidence pack (ZIP, SHA-256 manifest). Links to /forum-review and /forum-disband.</t>
        </is>
      </c>
      <c r="G6" s="3" t="inlineStr">
        <is>
          <t>G-1, G-3, G-4, G-7, G-9, G-11, G-15, G-19, P-5, O-5</t>
        </is>
      </c>
    </row>
    <row r="7" ht="69" customHeight="1">
      <c r="A7" s="2" t="inlineStr">
        <is>
          <t>CS-4</t>
        </is>
      </c>
      <c r="B7" s="3" t="inlineStr">
        <is>
          <t>Create-forum wizard</t>
        </is>
      </c>
      <c r="C7" s="3" t="inlineStr">
        <is>
          <t>/create-forum, /formation-requests, /formation-request</t>
        </is>
      </c>
      <c r="D7" s="3" t="inlineStr">
        <is>
          <t>/create-forum, /formation-request, /formation-requests</t>
        </is>
      </c>
      <c r="E7" s="2" t="inlineStr">
        <is>
          <t>Built</t>
        </is>
      </c>
      <c r="F7" s="3" t="inlineStr">
        <is>
          <t>Acts: submit, respond, withdraw. Then evaluate, return, findings, charter challenge, approval steps decided in turn (role queues, delegates), bypass (waives only its own step; never by the step's own holder), exception, approve, reject. Originators can open their own request and answer a returned one on /create-forum?request=.</t>
        </is>
      </c>
      <c r="G7" s="3" t="inlineStr">
        <is>
          <t>G-3, G-5, G-7, G-8, G-12, G-17</t>
        </is>
      </c>
    </row>
    <row r="8" ht="43" customHeight="1">
      <c r="A8" s="2" t="inlineStr">
        <is>
          <t>—</t>
        </is>
      </c>
      <c r="B8" s="3" t="inlineStr">
        <is>
          <t>Forum compliance and annual review</t>
        </is>
      </c>
      <c r="C8" s="3" t="inlineStr">
        <is>
          <t>/forum-review</t>
        </is>
      </c>
      <c r="D8" s="3" t="inlineStr">
        <is>
          <t>/forum-review</t>
        </is>
      </c>
      <c r="E8" s="2" t="inlineStr">
        <is>
          <t>Built</t>
        </is>
      </c>
      <c r="F8" s="3" t="inlineStr">
        <is>
          <t>Acts: record_compliance_review (refused over an open charter challenge) and the annual review panel (reviews.start_forum_annual_review, record_forum_annual_review).</t>
        </is>
      </c>
      <c r="G8" s="3" t="inlineStr"/>
    </row>
    <row r="9" ht="43" customHeight="1">
      <c r="A9" s="2" t="inlineStr">
        <is>
          <t>—</t>
        </is>
      </c>
      <c r="B9" s="3" t="inlineStr">
        <is>
          <t>Forum disbandment</t>
        </is>
      </c>
      <c r="C9" s="3" t="inlineStr">
        <is>
          <t>/forum-disband</t>
        </is>
      </c>
      <c r="D9" s="3" t="inlineStr">
        <is>
          <t>/forum-disband</t>
        </is>
      </c>
      <c r="E9" s="2" t="inlineStr">
        <is>
          <t>Built</t>
        </is>
      </c>
      <c r="F9" s="3" t="inlineStr">
        <is>
          <t>Acts: raise the plan, attach the plan file, approver or delegate decisions, execute (lifecycle.*). The forum becomes inactive, never deleted.</t>
        </is>
      </c>
      <c r="G9" s="3" t="inlineStr">
        <is>
          <t>G-11</t>
        </is>
      </c>
    </row>
    <row r="10" ht="43" customHeight="1">
      <c r="A10" s="2" t="inlineStr">
        <is>
          <t>—</t>
        </is>
      </c>
      <c r="B10" s="3" t="inlineStr">
        <is>
          <t>Motions and voting</t>
        </is>
      </c>
      <c r="C10" s="3" t="inlineStr">
        <is>
          <t>/forum-motion</t>
        </is>
      </c>
      <c r="D10" s="3" t="inlineStr">
        <is>
          <t>/forum-motion</t>
        </is>
      </c>
      <c r="E10" s="2" t="inlineStr">
        <is>
          <t>Built</t>
        </is>
      </c>
      <c r="F10" s="3" t="inlineStr">
        <is>
          <t>Acts: the secretary proposes and records the outcome; members (or seat delegates) cast their own ballot; quorum stored; an inquorate sitting cannot record a standing decision. No attendance entry.</t>
        </is>
      </c>
      <c r="G10" s="3" t="inlineStr"/>
    </row>
    <row r="11" ht="108" customHeight="1">
      <c r="A11" s="2" t="inlineStr">
        <is>
          <t>CS-5</t>
        </is>
      </c>
      <c r="B11" s="3" t="inlineStr">
        <is>
          <t>Dashboards (the Insights menu)</t>
        </is>
      </c>
      <c r="C11" s="3" t="inlineStr">
        <is>
          <t>/reports (Management reporting); also /governance-gaps (Gaps and risk), /emerging-risks, /regulatory-updates</t>
        </is>
      </c>
      <c r="D11" s="3" t="inlineStr">
        <is>
          <t>/emerging-risks, /governance-gaps, /regulatory-updates, /reports</t>
        </is>
      </c>
      <c r="E11" s="2" t="inlineStr">
        <is>
          <t>Built</t>
        </is>
      </c>
      <c r="F11" s="3" t="inlineStr">
        <is>
          <t>View and export. Time-limit clocks are counted only over records the viewer may read (sla.clock_position), so a sensitive matter's clock is not revealed by a count. Forum section and coverage-gap matrix (O-3). Documents section: families, monitoring outcomes, open violations, exceptions, dispositions, each with CSV (reporting.export). Escalation analysis with CSV. Time-limit clocks. Rule-based gaps, trends, risk scores and regulatory changes; optional AI commentary is off until configured.</t>
        </is>
      </c>
      <c r="G11" s="3" t="inlineStr">
        <is>
          <t>G-12, P-4, P-6, P-11, P-12, P-20, P-22, P-23, E-11, E-13, E-15, O-3, O-6, O-7</t>
        </is>
      </c>
    </row>
    <row r="12" ht="69" customHeight="1">
      <c r="A12" s="2" t="inlineStr">
        <is>
          <t>CS-6</t>
        </is>
      </c>
      <c r="B12" s="3" t="inlineStr">
        <is>
          <t>Governing document register (Policy library)</t>
        </is>
      </c>
      <c r="C12" s="3" t="inlineStr">
        <is>
          <t>/policies</t>
        </is>
      </c>
      <c r="D12" s="3" t="inlineStr">
        <is>
          <t>/policies</t>
        </is>
      </c>
      <c r="E12" s="2" t="inlineStr">
        <is>
          <t>Built</t>
        </is>
      </c>
      <c r="F12" s="3" t="inlineStr">
        <is>
          <t>View and search. Filters: type, phase, group, risk category, handling, owner, standing, all kept in the address. Full-text search of the current version (repository.search). "Raise an intake" goes to /policy-intake. Export CSV. A horizon-scanning button hands off to the external platform.</t>
        </is>
      </c>
      <c r="G12" s="3" t="inlineStr">
        <is>
          <t>P-1, P-2, P-12</t>
        </is>
      </c>
    </row>
    <row r="13" ht="121" customHeight="1">
      <c r="A13" s="2" t="inlineStr">
        <is>
          <t>CS-7</t>
        </is>
      </c>
      <c r="B13" s="3" t="inlineStr">
        <is>
          <t>Governing document detail</t>
        </is>
      </c>
      <c r="C13" s="3" t="inlineStr">
        <is>
          <t>/policy?name=</t>
        </is>
      </c>
      <c r="D13" s="3" t="inlineStr">
        <is>
          <t>/policy</t>
        </is>
      </c>
      <c r="E13" s="2" t="inlineStr">
        <is>
          <t>Built</t>
        </is>
      </c>
      <c r="F13" s="3" t="inlineStr">
        <is>
          <t>Acts. Lifecycle actions (POST only, gated; the failing gate is named); approval steps raised, decided and bypassed; gate exceptions (policy office approves, never self); version upload and revert; publish with audience preview; withdraw; review cycles and horizon scans; monitoring results and violations; attestation campaign; metadata correction in place. Also shown: glossary in context, dispositions, lineage (a restricted child is not named), the change log (readable by the policy office through Core's history, not only administrators), the Impact panel (O-6) and the evidence pack.</t>
        </is>
      </c>
      <c r="G13" s="3" t="inlineStr">
        <is>
          <t>P-1, P-3, P-4, P-5, P-6, P-7, P-8, P-9, P-10, P-11, P-17, P-19, P-21, P-22, P-23, P-24, P-25, P-26, O-6</t>
        </is>
      </c>
    </row>
    <row r="14" ht="30" customHeight="1">
      <c r="A14" s="2" t="inlineStr">
        <is>
          <t>—</t>
        </is>
      </c>
      <c r="B14" s="3" t="inlineStr">
        <is>
          <t>Policy intake</t>
        </is>
      </c>
      <c r="C14" s="3" t="inlineStr">
        <is>
          <t>/policy-intake</t>
        </is>
      </c>
      <c r="D14" s="3" t="inlineStr">
        <is>
          <t>/policy-intake</t>
        </is>
      </c>
      <c r="E14" s="2" t="inlineStr">
        <is>
          <t>Built</t>
        </is>
      </c>
      <c r="F14" s="3" t="inlineStr">
        <is>
          <t>Acts: raise, classify (the rule that fired and its trace), challenge, override with justification, create the document, withdraw.</t>
        </is>
      </c>
      <c r="G14" s="3" t="inlineStr">
        <is>
          <t>P-16</t>
        </is>
      </c>
    </row>
    <row r="15" ht="43" customHeight="1">
      <c r="A15" s="2" t="inlineStr">
        <is>
          <t>—</t>
        </is>
      </c>
      <c r="B15" s="3" t="inlineStr">
        <is>
          <t>Document viewer</t>
        </is>
      </c>
      <c r="C15" s="3" t="inlineStr">
        <is>
          <t>/document-view?version=</t>
        </is>
      </c>
      <c r="D15" s="3" t="inlineStr">
        <is>
          <t>/document-view</t>
        </is>
      </c>
      <c r="E15" s="2" t="inlineStr">
        <is>
          <t>Built</t>
        </is>
      </c>
      <c r="F15" s="3" t="inlineStr">
        <is>
          <t>View only. The body is served inline with no-store and a watermark on Restricted documents. Download and print only where flags and rendition allow. Glossary panel. "Open in Doc AI".</t>
        </is>
      </c>
      <c r="G15" s="3" t="inlineStr">
        <is>
          <t>P-1, P-9, P-19, P-24</t>
        </is>
      </c>
    </row>
    <row r="16" ht="69" customHeight="1">
      <c r="A16" s="2" t="inlineStr">
        <is>
          <t>—</t>
        </is>
      </c>
      <c r="B16" s="3" t="inlineStr">
        <is>
          <t>Doc AI hand-off</t>
        </is>
      </c>
      <c r="C16" s="3" t="inlineStr">
        <is>
          <t>/doc-ai?document=&amp;version=; "Open in Doc AI" on /policy, on each version row and on the viewer</t>
        </is>
      </c>
      <c r="D16" s="3" t="inlineStr">
        <is>
          <t>/doc-ai, /policy</t>
        </is>
      </c>
      <c r="E16" s="2" t="inlineStr">
        <is>
          <t>Built</t>
        </is>
      </c>
      <c r="F16" s="3" t="inlineStr">
        <is>
          <t>Acts: external_tools.doc_ai_handoff. It checks read access, handling and any roles the settings require (refusals audited). It writes an Access Log row and redirects to the external editor with identifiers only, never the file. Until an address is set, a "not connected yet" modal explains that an administrator configures it.</t>
        </is>
      </c>
      <c r="G16" s="3" t="inlineStr">
        <is>
          <t>P-1, P-3, P-4, P-5, P-6, P-7, P-8, P-9, P-10, P-11, P-17, P-19, P-21, P-22, P-23, P-24, P-25, P-26, O-6</t>
        </is>
      </c>
    </row>
    <row r="17" ht="30" customHeight="1">
      <c r="A17" s="2" t="inlineStr">
        <is>
          <t>—</t>
        </is>
      </c>
      <c r="B17" s="3" t="inlineStr">
        <is>
          <t>Horizon scanning hand-off</t>
        </is>
      </c>
      <c r="C17" s="3" t="inlineStr">
        <is>
          <t>/horizon-scanning; buttons on /policies and /regulatory-updates</t>
        </is>
      </c>
      <c r="D17" s="3" t="inlineStr">
        <is>
          <t>/horizon-scanning, /policies, /regulatory-updates</t>
        </is>
      </c>
      <c r="E17" s="2" t="inlineStr">
        <is>
          <t>Built</t>
        </is>
      </c>
      <c r="F17" s="3" t="inlineStr">
        <is>
          <t>Redirects to the external platform the administrator configured; its label is configurable. When it is not connected, the page says so.</t>
        </is>
      </c>
      <c r="G17" s="3" t="inlineStr">
        <is>
          <t>P-1, P-2, P-6, P-12, O-7</t>
        </is>
      </c>
    </row>
    <row r="18" ht="30" customHeight="1">
      <c r="A18" s="2" t="inlineStr">
        <is>
          <t>—</t>
        </is>
      </c>
      <c r="B18" s="3" t="inlineStr">
        <is>
          <t>Policy-change impact</t>
        </is>
      </c>
      <c r="C18" s="3" t="inlineStr">
        <is>
          <t>/policy-impact?name=</t>
        </is>
      </c>
      <c r="D18" s="3" t="inlineStr">
        <is>
          <t>/policy-impact</t>
        </is>
      </c>
      <c r="E18" s="2" t="inlineStr">
        <is>
          <t>Built</t>
        </is>
      </c>
      <c r="F18" s="3" t="inlineStr">
        <is>
          <t>View (O-6). The same panel is embedded on /policy; no page links to this standalone page.</t>
        </is>
      </c>
      <c r="G18" s="3" t="inlineStr">
        <is>
          <t>O-6</t>
        </is>
      </c>
    </row>
    <row r="19" ht="43" customHeight="1">
      <c r="A19" s="2" t="inlineStr">
        <is>
          <t>CS-8</t>
        </is>
      </c>
      <c r="B19" s="3" t="inlineStr">
        <is>
          <t>Escalation register</t>
        </is>
      </c>
      <c r="C19" s="3" t="inlineStr">
        <is>
          <t>/escalations</t>
        </is>
      </c>
      <c r="D19" s="3" t="inlineStr">
        <is>
          <t>/escalations</t>
        </is>
      </c>
      <c r="E19" s="2" t="inlineStr">
        <is>
          <t>Built</t>
        </is>
      </c>
      <c r="F19" s="3" t="inlineStr">
        <is>
          <t>View, with filter, sort, search (also from ?q=) and paging; filters kept in the address; sensitive rows excluded. Export CSV. A "waiting on you" panel (approvals, reviews, owned matters).</t>
        </is>
      </c>
      <c r="G19" s="3" t="inlineStr">
        <is>
          <t>E-1, E-2</t>
        </is>
      </c>
    </row>
    <row r="20" ht="43" customHeight="1">
      <c r="A20" s="2" t="inlineStr">
        <is>
          <t>—</t>
        </is>
      </c>
      <c r="B20" s="3" t="inlineStr">
        <is>
          <t>Raise an escalation</t>
        </is>
      </c>
      <c r="C20" s="3" t="inlineStr">
        <is>
          <t>/raise-escalation</t>
        </is>
      </c>
      <c r="D20" s="3" t="inlineStr">
        <is>
          <t>/raise-escalation</t>
        </is>
      </c>
      <c r="E20" s="2" t="inlineStr">
        <is>
          <t>Built</t>
        </is>
      </c>
      <c r="F20" s="3" t="inlineStr">
        <is>
          <t>Acts: the type selects the template; required fields by template and severity; the matrix proposes severity and pathway; a chosen severity is recorded as a manual override.</t>
        </is>
      </c>
      <c r="G20" s="3" t="inlineStr">
        <is>
          <t>E-1, E-3, E-5</t>
        </is>
      </c>
    </row>
    <row r="21" ht="69" customHeight="1">
      <c r="A21" s="2" t="inlineStr">
        <is>
          <t>CS-9</t>
        </is>
      </c>
      <c r="B21" s="3" t="inlineStr">
        <is>
          <t>Escalation detail</t>
        </is>
      </c>
      <c r="C21" s="3" t="inlineStr">
        <is>
          <t>/escalation?name=</t>
        </is>
      </c>
      <c r="D21" s="3" t="inlineStr">
        <is>
          <t>/escalation</t>
        </is>
      </c>
      <c r="E21" s="2" t="inlineStr">
        <is>
          <t>Built</t>
        </is>
      </c>
      <c r="F21" s="3" t="inlineStr">
        <is>
          <t>Acts through the workbench: status moves; Take ownership from a queue; review rounds; action plans; risk acceptance and its approval; pathway; closure (with confirmation). Views: time in each status against targets; who a notice reaches; unified history; revisions with Revert; evidence pack.</t>
        </is>
      </c>
      <c r="G21" s="3" t="inlineStr">
        <is>
          <t>E-1, E-3, E-4, E-5, E-6, E-7, E-9, E-10, E-12, E-13, E-14, O-5</t>
        </is>
      </c>
    </row>
    <row r="22" ht="82" customHeight="1">
      <c r="A22" s="2" t="inlineStr">
        <is>
          <t>CS-10</t>
        </is>
      </c>
      <c r="B22" s="3" t="inlineStr">
        <is>
          <t>Personal task and attestation inbox</t>
        </is>
      </c>
      <c r="C22" s="3" t="inlineStr">
        <is>
          <t>/tasks (the My work menu: all, due soon, approvals, reviews, attestations, escalations waiting for an owner), /attestation-campaigns</t>
        </is>
      </c>
      <c r="D22" s="3" t="inlineStr">
        <is>
          <t>/attestation-campaigns, /tasks</t>
        </is>
      </c>
      <c r="E22" s="2" t="inlineStr">
        <is>
          <t>Built</t>
        </is>
      </c>
      <c r="F22" s="3" t="inlineStr">
        <is>
          <t>Exists. Approval steps are described in words: what is being approved, raised by whom and when due (inbox.decision_summary). /tasks: attestations and second signatures answered in place, approval and formation steps, returned requests, remediation tasks, queue items, policy reviews due. /attestation-campaigns: open forum campaigns, generate tasks, completion, records a campaign could not ask about.</t>
        </is>
      </c>
      <c r="G22" s="3" t="inlineStr">
        <is>
          <t>G-10, G-12, P-8, P-10, P-14, P-23</t>
        </is>
      </c>
    </row>
    <row r="23" ht="43" customHeight="1">
      <c r="A23" s="2" t="inlineStr">
        <is>
          <t>CS-11</t>
        </is>
      </c>
      <c r="B23" s="3" t="inlineStr">
        <is>
          <t>Import batch review</t>
        </is>
      </c>
      <c r="C23" s="3" t="inlineStr">
        <is>
          <t>/imports</t>
        </is>
      </c>
      <c r="D23" s="3" t="inlineStr">
        <is>
          <t>/imports</t>
        </is>
      </c>
      <c r="E23" s="2" t="inlineStr">
        <is>
          <t>Built</t>
        </is>
      </c>
      <c r="F23" s="3" t="inlineStr">
        <is>
          <t>Exists. Acts: upload against a profile, review rows, exclude, revalidate, commit or discard. Profiles ship for Escalation Matter and regulatory changes. No outbound export action.</t>
        </is>
      </c>
      <c r="G23" s="3" t="inlineStr">
        <is>
          <t>G-19, P-6, P-20, E-19, O-7</t>
        </is>
      </c>
    </row>
    <row r="24" ht="82" customHeight="1">
      <c r="A24" s="2" t="inlineStr">
        <is>
          <t>—</t>
        </is>
      </c>
      <c r="B24" s="3" t="inlineStr">
        <is>
          <t>Help assistant</t>
        </is>
      </c>
      <c r="C24" s="3" t="inlineStr">
        <is>
          <t>Help button on every portal page</t>
        </is>
      </c>
      <c r="D24" s="3" t="inlineStr"/>
      <c r="E24" s="2" t="inlineStr">
        <is>
          <t>Built</t>
        </is>
      </c>
      <c r="F24" s="3" t="inlineStr">
        <is>
          <t>Acts: built-in offline answers per page and permission, drawn from the page map, the glossary and the illustrated guide chapters (administration chapters for administrators only). Answers cite their source. Optional AI phrasing through the audited client. On the demo site it is connected to an OpenAI-compatible provider and answers with citations.</t>
        </is>
      </c>
      <c r="G24" s="3" t="inlineStr"/>
    </row>
    <row r="25" ht="121" customHeight="1">
      <c r="A25" s="2" t="inlineStr">
        <is>
          <t>—</t>
        </is>
      </c>
      <c r="B25" s="3" t="inlineStr">
        <is>
          <t>Integrations</t>
        </is>
      </c>
      <c r="C25" s="3" t="inlineStr">
        <is>
          <t>/integrations (Admin → Integrations), administrators only</t>
        </is>
      </c>
      <c r="D25" s="3" t="inlineStr">
        <is>
          <t>/integrations</t>
        </is>
      </c>
      <c r="E25" s="2" t="inlineStr">
        <is>
          <t>Built</t>
        </is>
      </c>
      <c r="F25" s="3" t="inlineStr">
        <is>
          <t>Acts, through consilium_core/integrations/admin.py, with five cards. AI assistant and analysis: endpoint, model, write-only key, Test connection through the audited client, and a warning when a switch is on with no key. Doc AI and Horizon scanning: address, label and roles. E-mail: route SMTP or Microsoft Graph, and Send a test email to me. Single sign-on: read-only, showing the redirect URI with a copy button; SSO itself is switched in the deployment configuration. Settings are held in Assistant Settings, External Tools Settings and Email Delivery Settings.</t>
        </is>
      </c>
      <c r="G25" s="3" t="inlineStr"/>
    </row>
    <row r="26" ht="82" customHeight="1">
      <c r="A26" s="2" t="inlineStr">
        <is>
          <t>DK</t>
        </is>
      </c>
      <c r="B26" s="3" t="inlineStr">
        <is>
          <t>Desk</t>
        </is>
      </c>
      <c r="C26" s="3" t="inlineStr">
        <is>
          <t>Four workspaces (Governance, Policy, Escalation, Consilium Administration); /admin links out</t>
        </is>
      </c>
      <c r="D26" s="3" t="inlineStr">
        <is>
          <t>/admin</t>
        </is>
      </c>
      <c r="E26" s="2" t="inlineStr">
        <is>
          <t>Desk</t>
        </is>
      </c>
      <c r="F26" s="3" t="inlineStr">
        <is>
          <t>Native forms and lists for configuration: routes, matrices, templates, notification templates, retention, delegations, meetings. One custom desk button (record minutes). One framework Workflow: Governing Document Lifecycle. The "Advanced view" link from a business page to its desk record is offered to administrators only. A reviewer's "Return to Drafting" works on the portal only; on the desk it fails.</t>
        </is>
      </c>
      <c r="G26" s="3" t="inlineStr"/>
    </row>
  </sheetData>
  <conditionalFormatting sqref="E2:E26">
    <cfRule type="expression" priority="1" dxfId="0" stopIfTrue="1">
      <formula>E2="Built"</formula>
    </cfRule>
    <cfRule type="expression" priority="2" dxfId="3" stopIfTrue="1">
      <formula>E2="Missing"</formula>
    </cfRule>
    <cfRule type="expression" priority="3" dxfId="1" stopIfTrue="1">
      <formula>E2="Desk"</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D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22" customWidth="1" min="3" max="3"/>
    <col width="90" customWidth="1" min="4" max="4"/>
  </cols>
  <sheetData>
    <row r="1" ht="17" customHeight="1">
      <c r="A1" s="1" t="inlineStr">
        <is>
          <t>Item</t>
        </is>
      </c>
      <c r="B1" s="1" t="inlineStr">
        <is>
          <t>State</t>
        </is>
      </c>
      <c r="C1" s="1" t="inlineStr">
        <is>
          <t>Still true? (as written)</t>
        </is>
      </c>
      <c r="D1" s="1" t="inlineStr">
        <is>
          <t>Evidence</t>
        </is>
      </c>
    </row>
    <row r="2" ht="43" customHeight="1">
      <c r="A2" s="3" t="inlineStr">
        <is>
          <t>Migration rehearsal on a target server</t>
        </is>
      </c>
      <c r="B2" s="2" t="inlineStr">
        <is>
          <t>Open</t>
        </is>
      </c>
      <c r="C2" s="3" t="inlineStr">
        <is>
          <t>Partly closed. Rehearsed on a stand-in; the target is open.</t>
        </is>
      </c>
      <c r="D2" s="3" t="inlineStr">
        <is>
          <t>Demo-site backup restored and migrated on air-gapped Rocky Linux 9 with identical row counts, health 17/17 and a UI sweep of 239 pages. The target's own PostgreSQL is still to be rehearsed.</t>
        </is>
      </c>
    </row>
    <row r="3" ht="30" customHeight="1">
      <c r="A3" s="3" t="inlineStr">
        <is>
          <t>Upgrade rehearsal from a previous release</t>
        </is>
      </c>
      <c r="B3" s="2" t="inlineStr">
        <is>
          <t>Closed</t>
        </is>
      </c>
      <c r="C3" s="3" t="inlineStr">
        <is>
          <t>Partly closed. Rehearsed; rollback not exercised.</t>
        </is>
      </c>
      <c r="D3" s="3" t="inlineStr">
        <is>
          <t>upgrade.sh from the previous release: no table lost rows; verify.sh 14/14 afterwards.</t>
        </is>
      </c>
    </row>
    <row r="4" ht="30" customHeight="1">
      <c r="A4" s="3" t="inlineStr">
        <is>
          <t>Load rehearsal</t>
        </is>
      </c>
      <c r="B4" s="2" t="inlineStr">
        <is>
          <t>Open</t>
        </is>
      </c>
      <c r="C4" s="3" t="inlineStr">
        <is>
          <t>Open (indicative only).</t>
        </is>
      </c>
      <c r="D4" s="3" t="inlineStr">
        <is>
          <t>scripts/load_test.py on an emulated laptop: 0 errors at 1–25 threads, throughput flat from 5 threads on one process. Real numbers need the target with several web processes.</t>
        </is>
      </c>
    </row>
    <row r="5" ht="43" customHeight="1">
      <c r="A5" s="3" t="inlineStr">
        <is>
          <t>Certificates, ports, service accounts</t>
        </is>
      </c>
      <c r="B5" s="2" t="inlineStr">
        <is>
          <t>Open</t>
        </is>
      </c>
      <c r="C5" s="3" t="inlineStr">
        <is>
          <t>Changed: documented; the organisation's decisions are open.</t>
        </is>
      </c>
      <c r="D5" s="3" t="inlineStr">
        <is>
          <t>docs/OPERATIONS.md; systemd units (systemd-analyze verify clean), nginx and Caddy templates. The CA, names and firewall need the target. The Windows service script has not been run.</t>
        </is>
      </c>
    </row>
    <row r="6" ht="43" customHeight="1">
      <c r="A6" s="3" t="inlineStr">
        <is>
          <t>Single sign-on</t>
        </is>
      </c>
      <c r="B6" s="2" t="inlineStr">
        <is>
          <t>Open</t>
        </is>
      </c>
      <c r="C6" s="3" t="inlineStr">
        <is>
          <t>Changed: OIDC proven against a mock provider; the real IdP is open.</t>
        </is>
      </c>
      <c r="D6" s="3" t="inlineStr">
        <is>
          <t>Existing user matched without re-keying; strangers refused. LDAP is configuration only. SAML is not in the framework. Admin → Integrations shows the redirect URI to register with the identity provider (read-only, copy button); SSO is switched in the deployment configuration.</t>
        </is>
      </c>
    </row>
    <row r="7" ht="30" customHeight="1">
      <c r="A7" s="3" t="inlineStr">
        <is>
          <t>Scheduled jobs</t>
        </is>
      </c>
      <c r="B7" s="2" t="inlineStr">
        <is>
          <t>Changed</t>
        </is>
      </c>
      <c r="C7" s="3" t="inlineStr">
        <is>
          <t>Changed: observed on the rehearsal host.</t>
        </is>
      </c>
      <c r="D7" s="3" t="inlineStr">
        <is>
          <t>All 11 Consilium jobs ran exactly once under one scheduler. The scheduler is still disabled on the demonstration site.</t>
        </is>
      </c>
    </row>
    <row r="8" ht="17" customHeight="1">
      <c r="A8" s="3" t="inlineStr">
        <is>
          <t>Windows</t>
        </is>
      </c>
      <c r="B8" s="2" t="inlineStr">
        <is>
          <t>Open</t>
        </is>
      </c>
      <c r="C8" s="3" t="inlineStr">
        <is>
          <t>Yes, open.</t>
        </is>
      </c>
      <c r="D8" s="3" t="inlineStr">
        <is>
          <t>No real Windows run. Simulated only: tests/test_compat.py, and the CI windows-latest toolchain job.</t>
        </is>
      </c>
    </row>
    <row r="9" ht="30" customHeight="1">
      <c r="A9" s="3" t="inlineStr">
        <is>
          <t>Platforms</t>
        </is>
      </c>
      <c r="B9" s="2" t="inlineStr">
        <is>
          <t>Open</t>
        </is>
      </c>
      <c r="C9" s="3" t="inlineStr">
        <is>
          <t>Open: a constraint.</t>
        </is>
      </c>
      <c r="D9" s="3" t="inlineStr">
        <is>
          <t>Python 3.11 on x86_64 only. The framework's hiredis pin blocks 3.12; psutil blocks ARM. RHEL 8 and Ubuntu 22.04 not rehearsed.</t>
        </is>
      </c>
    </row>
    <row r="10" ht="30" customHeight="1">
      <c r="A10" s="3" t="inlineStr">
        <is>
          <t>Offline bundle</t>
        </is>
      </c>
      <c r="B10" s="2" t="inlineStr">
        <is>
          <t>Open</t>
        </is>
      </c>
      <c r="C10" s="3" t="inlineStr">
        <is>
          <t>Open.</t>
        </is>
      </c>
      <c r="D10" s="3" t="inlineStr">
        <is>
          <t>Must be rebuilt from the final commit: 139 wheels + 6 pure-Python sdists, with Playwright, greenlet and pyee now dev-only. Then install and verify.sh again.</t>
        </is>
      </c>
    </row>
    <row r="11" ht="56" customHeight="1">
      <c r="A11" s="3" t="inlineStr">
        <is>
          <t>Real e-mail delivery</t>
        </is>
      </c>
      <c r="B11" s="2" t="inlineStr">
        <is>
          <t>Open</t>
        </is>
      </c>
      <c r="C11" s="3" t="inlineStr">
        <is>
          <t>Yes, open; now two routes.</t>
        </is>
      </c>
      <c r="D11" s="3" t="inlineStr">
        <is>
          <t>SMTP through the framework mail queue, or Microsoft Graph with app-only client credentials (graph_* keys in consilium.conf; Mail.Send limited to the sender mailbox by an application access policy). Both are tested against local stand-ins; Send a test email to me on Admin → Integrations checks the real route. The framework's own mail (password reset) still needs SMTP. A real relay or tenant needs the target.</t>
        </is>
      </c>
    </row>
    <row r="12" ht="17" customHeight="1">
      <c r="A12" s="3" t="inlineStr">
        <is>
          <t>Test baseline</t>
        </is>
      </c>
      <c r="B12" s="2" t="inlineStr">
        <is>
          <t>Changed</t>
        </is>
      </c>
      <c r="C12" s="3" t="inlineStr">
        <is>
          <t>Changed.</t>
        </is>
      </c>
      <c r="D12" s="3" t="inlineStr">
        <is>
          <t>1453 run, OK (was 1372 OK before the last round, 780 on 2026-09-17).</t>
        </is>
      </c>
    </row>
    <row r="13" ht="17" customHeight="1">
      <c r="A13" s="3" t="inlineStr">
        <is>
          <t>"Screens: CS-10 and CS-11 do not exist"</t>
        </is>
      </c>
      <c r="B13" s="2" t="inlineStr">
        <is>
          <t>Superseded</t>
        </is>
      </c>
      <c r="C13" s="3" t="inlineStr">
        <is>
          <t>Superseded.</t>
        </is>
      </c>
      <c r="D13" s="3" t="inlineStr">
        <is>
          <t>/tasks, /attestation-campaigns and /imports exist (§1.1).</t>
        </is>
      </c>
    </row>
  </sheetData>
  <conditionalFormatting sqref="B2:B13">
    <cfRule type="expression" priority="1" dxfId="3" stopIfTrue="1">
      <formula>B2="Open"</formula>
    </cfRule>
    <cfRule type="expression" priority="2" dxfId="2" stopIfTrue="1">
      <formula>B2="Changed"</formula>
    </cfRule>
    <cfRule type="expression" priority="3" dxfId="2" stopIfTrue="1">
      <formula>B2="New finding"</formula>
    </cfRule>
    <cfRule type="expression" priority="4" dxfId="0" stopIfTrue="1">
      <formula>B2="Superseded"</formula>
    </cfRule>
    <cfRule type="expression" priority="5" dxfId="0" stopIfTrue="1">
      <formula>B2="Closed"</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L1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4" customWidth="1" min="3" max="3"/>
    <col width="18" customWidth="1" min="4" max="4"/>
    <col width="13" customWidth="1" min="5" max="5"/>
    <col width="14" customWidth="1" min="6" max="6"/>
    <col width="55" customWidth="1" min="7" max="7"/>
    <col width="18" customWidth="1" min="8" max="8"/>
    <col width="22" customWidth="1" min="9" max="9"/>
    <col width="13" customWidth="1" min="10" max="10"/>
    <col width="50" customWidth="1" min="11" max="11"/>
    <col width="60" customWidth="1" min="12" max="12"/>
  </cols>
  <sheetData>
    <row r="1" ht="30" customHeight="1">
      <c r="A1" s="1" t="inlineStr">
        <is>
          <t>Story ID</t>
        </is>
      </c>
      <c r="B1" s="1" t="inlineStr">
        <is>
          <t>Epic</t>
        </is>
      </c>
      <c r="C1" s="1" t="inlineStr">
        <is>
          <t>Epic title</t>
        </is>
      </c>
      <c r="D1" s="1" t="inlineStr">
        <is>
          <t>Phase</t>
        </is>
      </c>
      <c r="E1" s="1" t="inlineStr">
        <is>
          <t>Size</t>
        </is>
      </c>
      <c r="F1" s="1" t="inlineStr">
        <is>
          <t>Story status</t>
        </is>
      </c>
      <c r="G1" s="1" t="inlineStr">
        <is>
          <t>Story evidence</t>
        </is>
      </c>
      <c r="H1" s="1" t="inlineStr">
        <is>
          <t>Epic state (from its stories)</t>
        </is>
      </c>
      <c r="I1" s="1" t="inlineStr">
        <is>
          <t>Requirement ids</t>
        </is>
      </c>
      <c r="J1" s="1" t="inlineStr">
        <is>
          <t>Trace source</t>
        </is>
      </c>
      <c r="K1" s="1" t="inlineStr">
        <is>
          <t>Story</t>
        </is>
      </c>
      <c r="L1" s="1" t="inlineStr">
        <is>
          <t>Acceptance criteria</t>
        </is>
      </c>
    </row>
    <row r="2" ht="56" customHeight="1">
      <c r="A2" s="2" t="inlineStr">
        <is>
          <t>E1-S1</t>
        </is>
      </c>
      <c r="B2" s="2" t="inlineStr">
        <is>
          <t>E1</t>
        </is>
      </c>
      <c r="C2" s="3" t="inlineStr">
        <is>
          <t>Platform foundation</t>
        </is>
      </c>
      <c r="D2" s="3" t="inlineStr">
        <is>
          <t>Phase 1 — Foundation</t>
        </is>
      </c>
      <c r="E2" s="2" t="inlineStr">
        <is>
          <t>S</t>
        </is>
      </c>
      <c r="F2" s="2" t="inlineStr">
        <is>
          <t>Done</t>
        </is>
      </c>
      <c r="G2" s="3" t="inlineStr">
        <is>
          <t>Four modules in modules.txt; the shared one is Consilium Core because the framework owns Core. Installs in CI and by deploy/install.sh. escalation.tests.test_entities.TestModuleShape (all 3)</t>
        </is>
      </c>
      <c r="H2" s="3" t="inlineStr">
        <is>
          <t>Done 3, Partial 2</t>
        </is>
      </c>
      <c r="I2" s="3" t="inlineStr"/>
      <c r="J2" s="2" t="inlineStr">
        <is>
          <t>none</t>
        </is>
      </c>
      <c r="K2" s="3" t="inlineStr">
        <is>
          <t>As an engineer, I have an application skeleton with four modules so that code has an obvious home.</t>
        </is>
      </c>
      <c r="L2" s="3" t="inlineStr">
        <is>
          <t>app installs into a site; modules are Consilium Core, Governance, Policy, Escalation; module names do not collide with framework-owned names.</t>
        </is>
      </c>
    </row>
    <row r="3" ht="56" customHeight="1">
      <c r="A3" s="2" t="inlineStr">
        <is>
          <t>E1-S2</t>
        </is>
      </c>
      <c r="B3" s="2" t="inlineStr">
        <is>
          <t>E1</t>
        </is>
      </c>
      <c r="C3" s="3" t="inlineStr">
        <is>
          <t>Platform foundation</t>
        </is>
      </c>
      <c r="D3" s="3" t="inlineStr">
        <is>
          <t>Phase 1 — Foundation</t>
        </is>
      </c>
      <c r="E3" s="2" t="inlineStr">
        <is>
          <t>M</t>
        </is>
      </c>
      <c r="F3" s="2" t="inlineStr">
        <is>
          <t>Partial</t>
        </is>
      </c>
      <c r="G3" s="3" t="inlineStr">
        <is>
          <t>apps/consilium/scripts/make_doctype.py writes JSON, controller and test and rejects framework fields, unknown link targets and duplicate names. No test covers the generator (nothing under tests/ or the app suites imports it)</t>
        </is>
      </c>
      <c r="H3" s="3" t="inlineStr">
        <is>
          <t>Done 3, Partial 2</t>
        </is>
      </c>
      <c r="I3" s="3" t="inlineStr"/>
      <c r="J3" s="2" t="inlineStr">
        <is>
          <t>none</t>
        </is>
      </c>
      <c r="K3" s="3" t="inlineStr">
        <is>
          <t>As an engineer, I generate DocTypes from short specs so that every entity follows the same conventions.</t>
        </is>
      </c>
      <c r="L3" s="3" t="inlineStr">
        <is>
          <t>a spec file produces DocType JSON, a controller and a test; the generator rejects a spec that declares a framework-maintained field, names a link target that does not exist, or has a duplicate field name.</t>
        </is>
      </c>
    </row>
    <row r="4" ht="56" customHeight="1">
      <c r="A4" s="2" t="inlineStr">
        <is>
          <t>E1-S3</t>
        </is>
      </c>
      <c r="B4" s="2" t="inlineStr">
        <is>
          <t>E1</t>
        </is>
      </c>
      <c r="C4" s="3" t="inlineStr">
        <is>
          <t>Platform foundation</t>
        </is>
      </c>
      <c r="D4" s="3" t="inlineStr">
        <is>
          <t>Phase 1 — Foundation</t>
        </is>
      </c>
      <c r="E4" s="2" t="inlineStr">
        <is>
          <t>S</t>
        </is>
      </c>
      <c r="F4" s="2" t="inlineStr">
        <is>
          <t>Done</t>
        </is>
      </c>
      <c r="G4" s="3" t="inlineStr">
        <is>
          <t>public/vendor/, VENDOR.md, SHA256SUMS. scripts/check_platform_rules.py (no-CDN and checksum rules, 6/6), the health check's "Nothing references an external host" and verify.sh's no-CDN scan of every served page and asset fail on a reference</t>
        </is>
      </c>
      <c r="H4" s="3" t="inlineStr">
        <is>
          <t>Done 3, Partial 2</t>
        </is>
      </c>
      <c r="I4" s="3" t="inlineStr"/>
      <c r="J4" s="2" t="inlineStr">
        <is>
          <t>none</t>
        </is>
      </c>
      <c r="K4" s="3" t="inlineStr">
        <is>
          <t>As an engineer, I have vendored front-end libraries with recorded checksums so the application installs with no internet access.</t>
        </is>
      </c>
      <c r="L4" s="3" t="inlineStr">
        <is>
          <t>no CDN reference anywhere in the served HTML; a checksum file covers every vendored file; a test fails if a served page references an external host.</t>
        </is>
      </c>
    </row>
    <row r="5" ht="69" customHeight="1">
      <c r="A5" s="2" t="inlineStr">
        <is>
          <t>E1-S4</t>
        </is>
      </c>
      <c r="B5" s="2" t="inlineStr">
        <is>
          <t>E1</t>
        </is>
      </c>
      <c r="C5" s="3" t="inlineStr">
        <is>
          <t>Platform foundation</t>
        </is>
      </c>
      <c r="D5" s="3" t="inlineStr">
        <is>
          <t>Phase 1 — Foundation</t>
        </is>
      </c>
      <c r="E5" s="2" t="inlineStr">
        <is>
          <t>M</t>
        </is>
      </c>
      <c r="F5" s="2" t="inlineStr">
        <is>
          <t>Done</t>
        </is>
      </c>
      <c r="G5" s="3" t="inlineStr">
        <is>
          <t>run-tests --app consilium on a site of its own: 1372 tests, OK. Every suite class is a FrappeTestCase, which rolls its class back on teardown; after the full run consilium-test.localhost holds 0 escalation matters, 0 governing documents and 0 notification dispatches, and the demo site holds no test rows</t>
        </is>
      </c>
      <c r="H5" s="3" t="inlineStr">
        <is>
          <t>Done 3, Partial 2</t>
        </is>
      </c>
      <c r="I5" s="3" t="inlineStr"/>
      <c r="J5" s="2" t="inlineStr">
        <is>
          <t>none</t>
        </is>
      </c>
      <c r="K5" s="3" t="inlineStr">
        <is>
          <t>As an engineer, the test suite runs against a real database so that tests exercise the schema rather than a mock.</t>
        </is>
      </c>
      <c r="L5" s="3" t="inlineStr">
        <is>
          <t>one command runs the suite; the suite creates and tears down its own fixtures.</t>
        </is>
      </c>
    </row>
    <row r="6" ht="69" customHeight="1">
      <c r="A6" s="2" t="inlineStr">
        <is>
          <t>E1-S5</t>
        </is>
      </c>
      <c r="B6" s="2" t="inlineStr">
        <is>
          <t>E1</t>
        </is>
      </c>
      <c r="C6" s="3" t="inlineStr">
        <is>
          <t>Platform foundation</t>
        </is>
      </c>
      <c r="D6" s="3" t="inlineStr">
        <is>
          <t>Phase 1 — Foundation</t>
        </is>
      </c>
      <c r="E6" s="2" t="inlineStr">
        <is>
          <t>M</t>
        </is>
      </c>
      <c r="F6" s="2" t="inlineStr">
        <is>
          <t>Partial</t>
        </is>
      </c>
      <c r="G6" s="3" t="inlineStr">
        <is>
          <t>github/workflows/ci.yml runs platform rules, toolchain tests on Linux and Windows, app tests and the health check; the air-gap and sanitization rules are automated (check_platform_rules.py). No lint, format or type-check step, and no configuration for one</t>
        </is>
      </c>
      <c r="H6" s="3" t="inlineStr">
        <is>
          <t>Done 3, Partial 2</t>
        </is>
      </c>
      <c r="I6" s="3" t="inlineStr"/>
      <c r="J6" s="2" t="inlineStr">
        <is>
          <t>none</t>
        </is>
      </c>
      <c r="K6" s="3" t="inlineStr">
        <is>
          <t>As an engineer, continuous checks run on every change so regressions surface immediately.</t>
        </is>
      </c>
      <c r="L6" s="3" t="inlineStr">
        <is>
          <t>lint, format, type check and tests run in one command and in CI; the air-gap rule and the sanitization rule are enforced by automated checks, not by convention.</t>
        </is>
      </c>
    </row>
    <row r="7" ht="56" customHeight="1">
      <c r="A7" s="2" t="inlineStr">
        <is>
          <t>E2-S1</t>
        </is>
      </c>
      <c r="B7" s="2" t="inlineStr">
        <is>
          <t>E2</t>
        </is>
      </c>
      <c r="C7" s="3" t="inlineStr">
        <is>
          <t>Identity, roles and access</t>
        </is>
      </c>
      <c r="D7" s="3" t="inlineStr">
        <is>
          <t>Phase 1 — Foundation</t>
        </is>
      </c>
      <c r="E7" s="2" t="inlineStr">
        <is>
          <t>S</t>
        </is>
      </c>
      <c r="F7" s="2" t="inlineStr">
        <is>
          <t>Done</t>
        </is>
      </c>
      <c r="G7" s="3" t="inlineStr">
        <is>
          <t>The framework's own user screens on desk. Disabled users are never offered or assigned. governance.tests.test_regressions.TestRoleBasedAssignment (all 2), governance.tests.test_formation_portal.TestNamedPeople (all 2)</t>
        </is>
      </c>
      <c r="H7" s="3" t="inlineStr">
        <is>
          <t>Done 4, Partial 1</t>
        </is>
      </c>
      <c r="I7" s="3" t="inlineStr">
        <is>
          <t>G-13, P-13, E-16</t>
        </is>
      </c>
      <c r="J7" s="2" t="inlineStr">
        <is>
          <t>epic trace</t>
        </is>
      </c>
      <c r="K7" s="3" t="inlineStr">
        <is>
          <t>As an administrator, I manage users in the application so the system works before any directory integration exists.</t>
        </is>
      </c>
      <c r="L7" s="3" t="inlineStr">
        <is>
          <t>create, deactivate and reactivate users; deactivated users cannot sign in but remain linked to their historical records.</t>
        </is>
      </c>
    </row>
    <row r="8" ht="134" customHeight="1">
      <c r="A8" s="2" t="inlineStr">
        <is>
          <t>E2-S2</t>
        </is>
      </c>
      <c r="B8" s="2" t="inlineStr">
        <is>
          <t>E2</t>
        </is>
      </c>
      <c r="C8" s="3" t="inlineStr">
        <is>
          <t>Identity, roles and access</t>
        </is>
      </c>
      <c r="D8" s="3" t="inlineStr">
        <is>
          <t>Phase 1 — Foundation</t>
        </is>
      </c>
      <c r="E8" s="2" t="inlineStr">
        <is>
          <t>M</t>
        </is>
      </c>
      <c r="F8" s="2" t="inlineStr">
        <is>
          <t>Done</t>
        </is>
      </c>
      <c r="G8" s="3" t="inlineStr">
        <is>
          <t>Roles: Consilium Administrator, Taxonomy Administrator, Forum Owner, Committee Secretary, Policy and Escalation Reviewer, Compliance Reviewer, Policy Owner, Escalation Owner, Governance Viewer, Consilium Audit (consilium_core.tests.test_entities.TestPermissions (all 5) and each module's refusal tests). Approval per route step: Formation Approval Route, Approval Route, Core Approval Decision (governance.tests.test_formation.TestApprovalRoute, consilium_core.tests.test_services.TestApprovals, policy.tests.test_lifecycle.TestApprovalRouting)</t>
        </is>
      </c>
      <c r="H8" s="3" t="inlineStr">
        <is>
          <t>Done 4, Partial 1</t>
        </is>
      </c>
      <c r="I8" s="3" t="inlineStr">
        <is>
          <t>G-13, P-13, E-16</t>
        </is>
      </c>
      <c r="J8" s="2" t="inlineStr">
        <is>
          <t>epic trace</t>
        </is>
      </c>
      <c r="K8" s="3" t="inlineStr">
        <is>
          <t>As an administrator, I assign access roles so that permissions follow the role, not the person.</t>
        </is>
      </c>
      <c r="L8" s="3" t="inlineStr">
        <is>
          <t>[struck through: the role set covers administrator, taxonomy administrator, forum owner, committee secretary, reviewer, approver, compliance reviewer, policy owner, escalation owner and read-only viewer; each is enforced server-side.] the role set covers administrator, taxonomy administrator, forum owner, committee secretary, reviewer, compliance reviewer, policy owner, escalation owner and read-only viewer, each enforced server-side; approval is assigned per route step, to a role or a named person (formation approval route, document approval route, Core Approval Decision). Revised 2026-09-18: approval authority belongs to the route step, not to a standing role.</t>
        </is>
      </c>
    </row>
    <row r="9" ht="95" customHeight="1">
      <c r="A9" s="2" t="inlineStr">
        <is>
          <t>E2-S3</t>
        </is>
      </c>
      <c r="B9" s="2" t="inlineStr">
        <is>
          <t>E2</t>
        </is>
      </c>
      <c r="C9" s="3" t="inlineStr">
        <is>
          <t>Identity, roles and access</t>
        </is>
      </c>
      <c r="D9" s="3" t="inlineStr">
        <is>
          <t>Phase 1 — Foundation</t>
        </is>
      </c>
      <c r="E9" s="2" t="inlineStr">
        <is>
          <t>M</t>
        </is>
      </c>
      <c r="F9" s="2" t="inlineStr">
        <is>
          <t>Done</t>
        </is>
      </c>
      <c r="G9" s="3" t="inlineStr">
        <is>
          <t>permission_query_conditions and has_permission in hooks.py for Escalation Matter and its children (escalation/sensitivity.py) and for Governing Document and Document Version (policy/handling.py), so list, search, report, count and REST paths all filter. Tests go through the API: escalation.tests.test_sensitivity.TestSensitiveMatters (all 8), policy.tests.test_handling.TestVisibility (all 8), TestVersionHooks (all 2)</t>
        </is>
      </c>
      <c r="H9" s="3" t="inlineStr">
        <is>
          <t>Done 4, Partial 1</t>
        </is>
      </c>
      <c r="I9" s="3" t="inlineStr">
        <is>
          <t>G-13, P-13, E-16</t>
        </is>
      </c>
      <c r="J9" s="2" t="inlineStr">
        <is>
          <t>epic trace</t>
        </is>
      </c>
      <c r="K9" s="3" t="inlineStr">
        <is>
          <t>As a security reviewer, I see that restricted records are visible only to authorised users.</t>
        </is>
      </c>
      <c r="L9" s="3" t="inlineStr">
        <is>
          <t>a record marked restricted is excluded from list views, search, reports and the API for users without the right; a test asserts the API path, not only the UI.</t>
        </is>
      </c>
    </row>
    <row r="10" ht="134" customHeight="1">
      <c r="A10" s="2" t="inlineStr">
        <is>
          <t>E2-S4</t>
        </is>
      </c>
      <c r="B10" s="2" t="inlineStr">
        <is>
          <t>E2</t>
        </is>
      </c>
      <c r="C10" s="3" t="inlineStr">
        <is>
          <t>Identity, roles and access</t>
        </is>
      </c>
      <c r="D10" s="3" t="inlineStr">
        <is>
          <t>Phase 1 — Foundation</t>
        </is>
      </c>
      <c r="E10" s="2" t="inlineStr">
        <is>
          <t>L</t>
        </is>
      </c>
      <c r="F10" s="2" t="inlineStr">
        <is>
          <t>Done</t>
        </is>
      </c>
      <c r="G10" s="3" t="inlineStr">
        <is>
          <t>OIDC through the framework's Social Login Key, set from [sso] in consilium.conf by install.sh; rehearsed end to end offline against scripts/mock_oidc_provider.py: the existing account signed in with the same user id and creation time, a stranger refused with sign-ups denied (docs/delivery/evidence/linux-rehearsal/41-sso-oidc-demo.txt). Off by default (demo site: no Social Login Key, LDAP disabled). tests/test_kit.py (test_sso_and_ai_are_off_by_default, test_oidc_needs_its_endpoints_and_a_secret, test_ldap_search_filter_must_take_the_sign_in_name). LDAP is configuration only, not exercised; the real directory is E34-S5</t>
        </is>
      </c>
      <c r="H10" s="3" t="inlineStr">
        <is>
          <t>Done 4, Partial 1</t>
        </is>
      </c>
      <c r="I10" s="3" t="inlineStr">
        <is>
          <t>G-13, P-13, E-16</t>
        </is>
      </c>
      <c r="J10" s="2" t="inlineStr">
        <is>
          <t>epic trace</t>
        </is>
      </c>
      <c r="K10" s="3" t="inlineStr">
        <is>
          <t>As an administrator, I can enable single sign-on later without re-mapping existing records.</t>
        </is>
      </c>
      <c r="L10" s="3" t="inlineStr">
        <is>
          <t>[struck through: an identity provider can be configured for LDAP or OIDC/SAML; an existing user is matched to a directory identity without changing the record's key; the feature is off by default.] single sign-on via OIDC/OAuth (the framework's Social Login Key) or LDAP; existing users matched without changing the record key; off by default. Revised 2026-09-18: SAML dropped; the framework does not support it.</t>
        </is>
      </c>
    </row>
    <row r="11" ht="43" customHeight="1">
      <c r="A11" s="2" t="inlineStr">
        <is>
          <t>E2-S5</t>
        </is>
      </c>
      <c r="B11" s="2" t="inlineStr">
        <is>
          <t>E2</t>
        </is>
      </c>
      <c r="C11" s="3" t="inlineStr">
        <is>
          <t>Identity, roles and access</t>
        </is>
      </c>
      <c r="D11" s="3" t="inlineStr">
        <is>
          <t>Phase 1 — Foundation</t>
        </is>
      </c>
      <c r="E11" s="2" t="inlineStr">
        <is>
          <t>M</t>
        </is>
      </c>
      <c r="F11" s="2" t="inlineStr">
        <is>
          <t>Partial</t>
        </is>
      </c>
      <c r="G11" s="3" t="inlineStr">
        <is>
          <t>User tracks changes (framework user.json, track_changes: 1), so Has Role grants and revocations reach the Version log with actor and time and outlive deactivation. No test</t>
        </is>
      </c>
      <c r="H11" s="3" t="inlineStr">
        <is>
          <t>Done 4, Partial 1</t>
        </is>
      </c>
      <c r="I11" s="3" t="inlineStr">
        <is>
          <t>G-13, P-13, E-16</t>
        </is>
      </c>
      <c r="J11" s="2" t="inlineStr">
        <is>
          <t>epic trace</t>
        </is>
      </c>
      <c r="K11" s="3" t="inlineStr">
        <is>
          <t>As an auditor, I can see who held which role and when.</t>
        </is>
      </c>
      <c r="L11" s="3" t="inlineStr">
        <is>
          <t>role grants and revocations are recorded with actor and timestamp and survive the user being deactivated.</t>
        </is>
      </c>
    </row>
    <row r="12" ht="56" customHeight="1">
      <c r="A12" s="2" t="inlineStr">
        <is>
          <t>E3-S1</t>
        </is>
      </c>
      <c r="B12" s="2" t="inlineStr">
        <is>
          <t>E3</t>
        </is>
      </c>
      <c r="C12" s="3" t="inlineStr">
        <is>
          <t>Taxonomy and reference data</t>
        </is>
      </c>
      <c r="D12" s="3" t="inlineStr">
        <is>
          <t>Phase 1 — Foundation</t>
        </is>
      </c>
      <c r="E12" s="2" t="inlineStr">
        <is>
          <t>M</t>
        </is>
      </c>
      <c r="F12" s="2" t="inlineStr">
        <is>
          <t>Done</t>
        </is>
      </c>
      <c r="G12" s="3" t="inlineStr">
        <is>
          <t>All eight lists and nine more, on the Consilium Administration workspace; code, name, description, is_active. consilium_core.tests.test_entities.TestTaxonomies (all 9)</t>
        </is>
      </c>
      <c r="H12" s="3" t="inlineStr">
        <is>
          <t>Done 4, Partial 1</t>
        </is>
      </c>
      <c r="I12" s="3" t="inlineStr">
        <is>
          <t>G-3, P-3, E-3</t>
        </is>
      </c>
      <c r="J12" s="2" t="inlineStr">
        <is>
          <t>epic trace</t>
        </is>
      </c>
      <c r="K12" s="3" t="inlineStr">
        <is>
          <t>As a taxonomy administrator, I maintain each reference list in the application.</t>
        </is>
      </c>
      <c r="L12" s="3" t="inlineStr">
        <is>
          <t>risk category, legal entity, organisation unit, jurisdiction, forum type, governing document type, escalation type and horizon scanning coverage area are all maintainable; each value has a stable code, a name, a description and an active flag.</t>
        </is>
      </c>
    </row>
    <row r="13" ht="95" customHeight="1">
      <c r="A13" s="2" t="inlineStr">
        <is>
          <t>E3-S2</t>
        </is>
      </c>
      <c r="B13" s="2" t="inlineStr">
        <is>
          <t>E3</t>
        </is>
      </c>
      <c r="C13" s="3" t="inlineStr">
        <is>
          <t>Taxonomy and reference data</t>
        </is>
      </c>
      <c r="D13" s="3" t="inlineStr">
        <is>
          <t>Phase 1 — Foundation</t>
        </is>
      </c>
      <c r="E13" s="2" t="inlineStr">
        <is>
          <t>S</t>
        </is>
      </c>
      <c r="F13" s="2" t="inlineStr">
        <is>
          <t>Done</t>
        </is>
      </c>
      <c r="G13" s="3" t="inlineStr">
        <is>
          <t>Deactivation, never deletion. standard_queries in hooks.py sends every taxonomy picker through an active-only query (consilium_core/taxonomy.py); an existing record still shows its retired value. consilium_core.tests.test_taxonomy.TestActiveOnlySearch (all 6, incl. test_a_record_made_before_retirement_still_shows_the_value), escalation.tests.test_assignment_and_timing.TestRetiredValuesAreNotOffered (all 1)</t>
        </is>
      </c>
      <c r="H13" s="3" t="inlineStr">
        <is>
          <t>Done 4, Partial 1</t>
        </is>
      </c>
      <c r="I13" s="3" t="inlineStr">
        <is>
          <t>G-3, P-3, E-3</t>
        </is>
      </c>
      <c r="J13" s="2" t="inlineStr">
        <is>
          <t>epic trace</t>
        </is>
      </c>
      <c r="K13" s="3" t="inlineStr">
        <is>
          <t>As a taxonomy administrator, I retire a value without breaking history.</t>
        </is>
      </c>
      <c r="L13" s="3" t="inlineStr">
        <is>
          <t>an inactive value no longer appears in pickers for new records but still displays correctly on existing ones; a test covers a record created before retirement.</t>
        </is>
      </c>
    </row>
    <row r="14" ht="43" customHeight="1">
      <c r="A14" s="2" t="inlineStr">
        <is>
          <t>E3-S3</t>
        </is>
      </c>
      <c r="B14" s="2" t="inlineStr">
        <is>
          <t>E3</t>
        </is>
      </c>
      <c r="C14" s="3" t="inlineStr">
        <is>
          <t>Taxonomy and reference data</t>
        </is>
      </c>
      <c r="D14" s="3" t="inlineStr">
        <is>
          <t>Phase 1 — Foundation</t>
        </is>
      </c>
      <c r="E14" s="2" t="inlineStr">
        <is>
          <t>M</t>
        </is>
      </c>
      <c r="F14" s="2" t="inlineStr">
        <is>
          <t>Done</t>
        </is>
      </c>
      <c r="G14" s="3" t="inlineStr">
        <is>
          <t>Six trees with the desk tree view; the framework's nested set refuses a loop. TestTaxonomies.test_the_hierarchical_taxonomies_are_trees, test_a_child_resolves_to_its_parent</t>
        </is>
      </c>
      <c r="H14" s="3" t="inlineStr">
        <is>
          <t>Done 4, Partial 1</t>
        </is>
      </c>
      <c r="I14" s="3" t="inlineStr">
        <is>
          <t>G-3, P-3, E-3</t>
        </is>
      </c>
      <c r="J14" s="2" t="inlineStr">
        <is>
          <t>epic trace</t>
        </is>
      </c>
      <c r="K14" s="3" t="inlineStr">
        <is>
          <t>As a taxonomy administrator, I maintain hierarchical taxonomies as trees.</t>
        </is>
      </c>
      <c r="L14" s="3" t="inlineStr">
        <is>
          <t>risk category, organisation unit and jurisdiction support parent/child; a tree view is available; a value cannot be its own ancestor.</t>
        </is>
      </c>
    </row>
    <row r="15" ht="95" customHeight="1">
      <c r="A15" s="2" t="inlineStr">
        <is>
          <t>E3-S4</t>
        </is>
      </c>
      <c r="B15" s="2" t="inlineStr">
        <is>
          <t>E3</t>
        </is>
      </c>
      <c r="C15" s="3" t="inlineStr">
        <is>
          <t>Taxonomy and reference data</t>
        </is>
      </c>
      <c r="D15" s="3" t="inlineStr">
        <is>
          <t>Phase 1 — Foundation</t>
        </is>
      </c>
      <c r="E15" s="2" t="inlineStr">
        <is>
          <t>M</t>
        </is>
      </c>
      <c r="F15" s="2" t="inlineStr">
        <is>
          <t>Done</t>
        </is>
      </c>
      <c r="G15" s="3" t="inlineStr">
        <is>
          <t>/imports (importing.upload_batch, review, commit); Reject Batch handling rejects the whole file with per-row errors; each Import Batch keeps file hash, actor and outcome. Tests import Risk Type values: consilium_core.tests.test_import_pipeline.TestImportPipeline (all 9), consilium_core.tests.test_imports_portal.TestUpload (all 5), TestReview (all 7). A taxonomy profile is set up by the administrator on desk; none ships</t>
        </is>
      </c>
      <c r="H15" s="3" t="inlineStr">
        <is>
          <t>Done 4, Partial 1</t>
        </is>
      </c>
      <c r="I15" s="3" t="inlineStr">
        <is>
          <t>G-3, P-3, E-3</t>
        </is>
      </c>
      <c r="J15" s="2" t="inlineStr">
        <is>
          <t>epic trace</t>
        </is>
      </c>
      <c r="K15" s="3" t="inlineStr">
        <is>
          <t>As a taxonomy administrator, I load values in bulk from a file.</t>
        </is>
      </c>
      <c r="L15" s="3" t="inlineStr">
        <is>
          <t>CSV import creates and updates values, reports per-row errors without partially applying a failed file, and records who imported what and when.</t>
        </is>
      </c>
    </row>
    <row r="16" ht="43" customHeight="1">
      <c r="A16" s="2" t="inlineStr">
        <is>
          <t>E3-S5</t>
        </is>
      </c>
      <c r="B16" s="2" t="inlineStr">
        <is>
          <t>E3</t>
        </is>
      </c>
      <c r="C16" s="3" t="inlineStr">
        <is>
          <t>Taxonomy and reference data</t>
        </is>
      </c>
      <c r="D16" s="3" t="inlineStr">
        <is>
          <t>Phase 1 — Foundation</t>
        </is>
      </c>
      <c r="E16" s="2" t="inlineStr">
        <is>
          <t>S</t>
        </is>
      </c>
      <c r="F16" s="2" t="inlineStr">
        <is>
          <t>Partial</t>
        </is>
      </c>
      <c r="G16" s="3" t="inlineStr">
        <is>
          <t>Tagging fields across the modules link to the Core taxonomies (e.g. Forum Risk Type, Document Risk Type). No test asserts that no module keeps its own list</t>
        </is>
      </c>
      <c r="H16" s="3" t="inlineStr">
        <is>
          <t>Done 4, Partial 1</t>
        </is>
      </c>
      <c r="I16" s="3" t="inlineStr">
        <is>
          <t>G-3, P-3, E-3</t>
        </is>
      </c>
      <c r="J16" s="2" t="inlineStr">
        <is>
          <t>epic trace</t>
        </is>
      </c>
      <c r="K16" s="3" t="inlineStr">
        <is>
          <t>As an engineer, taxonomy values are referenced consistently everywhere.</t>
        </is>
      </c>
      <c r="L16" s="3" t="inlineStr">
        <is>
          <t>every tagging field across all three modules links to these DocTypes; no module defines its own copy of a shared list.</t>
        </is>
      </c>
    </row>
    <row r="17" ht="56" customHeight="1">
      <c r="A17" s="2" t="inlineStr">
        <is>
          <t>E4-S1</t>
        </is>
      </c>
      <c r="B17" s="2" t="inlineStr">
        <is>
          <t>E4</t>
        </is>
      </c>
      <c r="C17" s="3" t="inlineStr">
        <is>
          <t>Audit, evidence and history</t>
        </is>
      </c>
      <c r="D17" s="3" t="inlineStr">
        <is>
          <t>Phase 1 — Foundation</t>
        </is>
      </c>
      <c r="E17" s="2" t="inlineStr">
        <is>
          <t>S</t>
        </is>
      </c>
      <c r="F17" s="2" t="inlineStr">
        <is>
          <t>Done</t>
        </is>
      </c>
      <c r="G17" s="3" t="inlineStr">
        <is>
          <t>track_changes on every governed entity. consilium_core.tests.test_entities.TestEntityStructure.test_governed_entities_keep_their_change_history, escalation.tests.test_entities.TestModuleShape.test_every_entity_tracks_changes</t>
        </is>
      </c>
      <c r="H17" s="3" t="inlineStr">
        <is>
          <t>Done 4</t>
        </is>
      </c>
      <c r="I17" s="3" t="inlineStr">
        <is>
          <t>G-9, P-9, E-12</t>
        </is>
      </c>
      <c r="J17" s="2" t="inlineStr">
        <is>
          <t>epic trace</t>
        </is>
      </c>
      <c r="K17" s="3" t="inlineStr">
        <is>
          <t>As an auditor, every change to a governed record is recorded with actor, timestamp and before/after values.</t>
        </is>
      </c>
      <c r="L17" s="3" t="inlineStr">
        <is>
          <t>change history is on for all governed entities; it cannot be switched off per record; a test asserts a field change produces an entry.</t>
        </is>
      </c>
    </row>
    <row r="18" ht="108" customHeight="1">
      <c r="A18" s="2" t="inlineStr">
        <is>
          <t>E4-S2</t>
        </is>
      </c>
      <c r="B18" s="2" t="inlineStr">
        <is>
          <t>E4</t>
        </is>
      </c>
      <c r="C18" s="3" t="inlineStr">
        <is>
          <t>Audit, evidence and history</t>
        </is>
      </c>
      <c r="D18" s="3" t="inlineStr">
        <is>
          <t>Phase 1 — Foundation</t>
        </is>
      </c>
      <c r="E18" s="2" t="inlineStr">
        <is>
          <t>M</t>
        </is>
      </c>
      <c r="F18" s="2" t="inlineStr">
        <is>
          <t>Done</t>
        </is>
      </c>
      <c r="G18" s="3" t="inlineStr">
        <is>
          <t>evidence.record_history (GET) merges Version, Comment (workflow, comments, attachments), Notification Log, Email Queue and Notification Dispatch into one chronological list, read on /forum and /escalation. consilium_core.tests.test_core_controls_wave3.TestHistoryAndEvidencePack.test_the_history_lists_changes_comments_and_notifications_in_one_list, test_the_history_is_refused_to_someone_who_cannot_read_the_record. /policy has no merged panel; its history reaches readers through the evidence pack</t>
        </is>
      </c>
      <c r="H18" s="3" t="inlineStr">
        <is>
          <t>Done 4</t>
        </is>
      </c>
      <c r="I18" s="3" t="inlineStr">
        <is>
          <t>G-9, P-9, E-12</t>
        </is>
      </c>
      <c r="J18" s="2" t="inlineStr">
        <is>
          <t>epic trace</t>
        </is>
      </c>
      <c r="K18" s="3" t="inlineStr">
        <is>
          <t>As an auditor, I can read a record's full history in one place, in plain language.</t>
        </is>
      </c>
      <c r="L18" s="3" t="inlineStr">
        <is>
          <t>a history view shows field changes, workflow transitions, comments, attachments and notifications in one chronological list.</t>
        </is>
      </c>
    </row>
    <row r="19" ht="95" customHeight="1">
      <c r="A19" s="2" t="inlineStr">
        <is>
          <t>E4-S3</t>
        </is>
      </c>
      <c r="B19" s="2" t="inlineStr">
        <is>
          <t>E4</t>
        </is>
      </c>
      <c r="C19" s="3" t="inlineStr">
        <is>
          <t>Audit, evidence and history</t>
        </is>
      </c>
      <c r="D19" s="3" t="inlineStr">
        <is>
          <t>Phase 1 — Foundation</t>
        </is>
      </c>
      <c r="E19" s="2" t="inlineStr">
        <is>
          <t>L</t>
        </is>
      </c>
      <c r="F19" s="2" t="inlineStr">
        <is>
          <t>Done</t>
        </is>
      </c>
      <c r="G19" s="3" t="inlineStr">
        <is>
          <t>Core engine writes a new version with a required reason; revert offered on /policy (publication.revert_version) and from the revision history on /forum and /escalation (consilium_core/revision.py). consilium_core.tests.test_versioning.TestVersioning (all 9), policy.tests.test_portal_actions.TestVersions (all 9), consilium_core.tests.test_revision.TestMatterRevision (all 13), TestForumRevision (all 5)</t>
        </is>
      </c>
      <c r="H19" s="3" t="inlineStr">
        <is>
          <t>Done 4</t>
        </is>
      </c>
      <c r="I19" s="3" t="inlineStr">
        <is>
          <t>G-9, P-9, E-12</t>
        </is>
      </c>
      <c r="J19" s="2" t="inlineStr">
        <is>
          <t>epic trace</t>
        </is>
      </c>
      <c r="K19" s="3" t="inlineStr">
        <is>
          <t>As a record owner, I can revert a record to a previous version.</t>
        </is>
      </c>
      <c r="L19" s="3" t="inlineStr">
        <is>
          <t>reverting writes a new version rather than mutating history; the revert itself is recorded with actor, timestamp, source version and a required reason; a test asserts the prior versions still exist afterwards.</t>
        </is>
      </c>
    </row>
    <row r="20" ht="108" customHeight="1">
      <c r="A20" s="2" t="inlineStr">
        <is>
          <t>E4-S4</t>
        </is>
      </c>
      <c r="B20" s="2" t="inlineStr">
        <is>
          <t>E4</t>
        </is>
      </c>
      <c r="C20" s="3" t="inlineStr">
        <is>
          <t>Audit, evidence and history</t>
        </is>
      </c>
      <c r="D20" s="3" t="inlineStr">
        <is>
          <t>Phase 1 — Foundation</t>
        </is>
      </c>
      <c r="E20" s="2" t="inlineStr">
        <is>
          <t>M</t>
        </is>
      </c>
      <c r="F20" s="2" t="inlineStr">
        <is>
          <t>Done</t>
        </is>
      </c>
      <c r="G20" s="3" t="inlineStr">
        <is>
          <t>evidence.export_pack builds one ZIP: record, history, revision chain, approvals and exceptions, refusals, dispatches, readable attachments, and a manifest.json with each entry's SHA-256; linked from /forum, /escalation and /policy; limited to audit and administration roles, refusals audited. TestHistoryAndEvidencePack.test_the_pack_holds_the_record_its_history_and_a_verifiable_manifest, test_the_pack_is_refused_without_an_evidence_role_and_the_refusal_is_audited</t>
        </is>
      </c>
      <c r="H20" s="3" t="inlineStr">
        <is>
          <t>Done 4</t>
        </is>
      </c>
      <c r="I20" s="3" t="inlineStr">
        <is>
          <t>G-9, P-9, E-12</t>
        </is>
      </c>
      <c r="J20" s="2" t="inlineStr">
        <is>
          <t>epic trace</t>
        </is>
      </c>
      <c r="K20" s="3" t="inlineStr">
        <is>
          <t>As an auditor, I can export a record's evidence pack.</t>
        </is>
      </c>
      <c r="L20" s="3" t="inlineStr">
        <is>
          <t>a single export contains the record, its history, its attachments and its approvals, in a form that can be handed to a reviewer.</t>
        </is>
      </c>
    </row>
    <row r="21" ht="82" customHeight="1">
      <c r="A21" s="2" t="inlineStr">
        <is>
          <t>E5-S1</t>
        </is>
      </c>
      <c r="B21" s="2" t="inlineStr">
        <is>
          <t>E5</t>
        </is>
      </c>
      <c r="C21" s="3" t="inlineStr">
        <is>
          <t>Document handling, versioning and retention</t>
        </is>
      </c>
      <c r="D21" s="3" t="inlineStr">
        <is>
          <t>Phase 1 — Foundation</t>
        </is>
      </c>
      <c r="E21" s="2" t="inlineStr">
        <is>
          <t>S</t>
        </is>
      </c>
      <c r="F21" s="2" t="inlineStr">
        <is>
          <t>Partial</t>
        </is>
      </c>
      <c r="G21" s="3" t="inlineStr">
        <is>
          <t>The framework's attachments, logged in the timeline; attachments to restricted documents are forced private (handling.guard_file_privacy). File type is not restricted (System Settings allowed_file_extensions empty, no max_file_size in the site config) and no test covers attach, replace or remove on the governed entities</t>
        </is>
      </c>
      <c r="H21" s="3" t="inlineStr">
        <is>
          <t>Done 3, Partial 2</t>
        </is>
      </c>
      <c r="I21" s="3" t="inlineStr">
        <is>
          <t>G-15, G-16, P-17, P-18, E-11</t>
        </is>
      </c>
      <c r="J21" s="2" t="inlineStr">
        <is>
          <t>epic trace</t>
        </is>
      </c>
      <c r="K21" s="3" t="inlineStr">
        <is>
          <t>As a user, I attach documents to a record.</t>
        </is>
      </c>
      <c r="L21" s="3" t="inlineStr">
        <is>
          <t>attach, replace and remove; file type and size are validated; every action is audited.</t>
        </is>
      </c>
    </row>
    <row r="22" ht="69" customHeight="1">
      <c r="A22" s="2" t="inlineStr">
        <is>
          <t>E5-S2</t>
        </is>
      </c>
      <c r="B22" s="2" t="inlineStr">
        <is>
          <t>E5</t>
        </is>
      </c>
      <c r="C22" s="3" t="inlineStr">
        <is>
          <t>Document handling, versioning and retention</t>
        </is>
      </c>
      <c r="D22" s="3" t="inlineStr">
        <is>
          <t>Phase 1 — Foundation</t>
        </is>
      </c>
      <c r="E22" s="2" t="inlineStr">
        <is>
          <t>M</t>
        </is>
      </c>
      <c r="F22" s="2" t="inlineStr">
        <is>
          <t>Done</t>
        </is>
      </c>
      <c r="G22" s="3" t="inlineStr">
        <is>
          <t>Document Version chain, ordered and immutable; /policy uploads a new body (publication.upload_new_version) only while editable. consilium_core.tests.test_versioning.TestVersioning (all 9), policy.tests.test_lifecycle.TestVersioningAndPublication (all 7), policy.tests.test_portal_actions.TestVersions (all 9)</t>
        </is>
      </c>
      <c r="H22" s="3" t="inlineStr">
        <is>
          <t>Done 3, Partial 2</t>
        </is>
      </c>
      <c r="I22" s="3" t="inlineStr">
        <is>
          <t>G-15, G-16, P-17, P-18, E-11</t>
        </is>
      </c>
      <c r="J22" s="2" t="inlineStr">
        <is>
          <t>epic trace</t>
        </is>
      </c>
      <c r="K22" s="3" t="inlineStr">
        <is>
          <t>As a policy owner, I upload a new version of a document and the prior version is preserved.</t>
        </is>
      </c>
      <c r="L22" s="3" t="inlineStr">
        <is>
          <t>versions are ordered and immutable; each carries who uploaded it and when; the current version is unambiguous.</t>
        </is>
      </c>
    </row>
    <row r="23" ht="56" customHeight="1">
      <c r="A23" s="2" t="inlineStr">
        <is>
          <t>E5-S3</t>
        </is>
      </c>
      <c r="B23" s="2" t="inlineStr">
        <is>
          <t>E5</t>
        </is>
      </c>
      <c r="C23" s="3" t="inlineStr">
        <is>
          <t>Document handling, versioning and retention</t>
        </is>
      </c>
      <c r="D23" s="3" t="inlineStr">
        <is>
          <t>Phase 1 — Foundation</t>
        </is>
      </c>
      <c r="E23" s="2" t="inlineStr">
        <is>
          <t>L</t>
        </is>
      </c>
      <c r="F23" s="2" t="inlineStr">
        <is>
          <t>Done</t>
        </is>
      </c>
      <c r="G23" s="3" t="inlineStr">
        <is>
          <t>retention.guard_modification and guard_deletion on every DocType; each refusal goes to Governance Refusal Log. Classes and assignments on desk. consilium_core.tests.test_retention.TestRetention (all 14)</t>
        </is>
      </c>
      <c r="H23" s="3" t="inlineStr">
        <is>
          <t>Done 3, Partial 2</t>
        </is>
      </c>
      <c r="I23" s="3" t="inlineStr">
        <is>
          <t>G-15, G-16, P-17, P-18, E-11</t>
        </is>
      </c>
      <c r="J23" s="2" t="inlineStr">
        <is>
          <t>epic trace</t>
        </is>
      </c>
      <c r="K23" s="3" t="inlineStr">
        <is>
          <t>As a compliance officer, retained records cannot be altered or deleted before their retention period expires.</t>
        </is>
      </c>
      <c r="L23" s="3" t="inlineStr">
        <is>
          <t>a retention class sets the period; deletion and modification are refused with a clear reason while a record is under retention; the refusal is audited.</t>
        </is>
      </c>
    </row>
    <row r="24" ht="56" customHeight="1">
      <c r="A24" s="2" t="inlineStr">
        <is>
          <t>E5-S4</t>
        </is>
      </c>
      <c r="B24" s="2" t="inlineStr">
        <is>
          <t>E5</t>
        </is>
      </c>
      <c r="C24" s="3" t="inlineStr">
        <is>
          <t>Document handling, versioning and retention</t>
        </is>
      </c>
      <c r="D24" s="3" t="inlineStr">
        <is>
          <t>Phase 1 — Foundation</t>
        </is>
      </c>
      <c r="E24" s="2" t="inlineStr">
        <is>
          <t>M</t>
        </is>
      </c>
      <c r="F24" s="2" t="inlineStr">
        <is>
          <t>Done</t>
        </is>
      </c>
      <c r="G24" s="3" t="inlineStr">
        <is>
          <t>Legal Hold on desk, Records Manager only, change-tracked; a hold beats disposal. TestRetention.test_a_legal_hold_overrides_a_scheduled_disposal, consilium_core.tests.test_entities.TestPermissions.test_retention_is_the_records_manager_s_to_run</t>
        </is>
      </c>
      <c r="H24" s="3" t="inlineStr">
        <is>
          <t>Done 3, Partial 2</t>
        </is>
      </c>
      <c r="I24" s="3" t="inlineStr">
        <is>
          <t>G-15, G-16, P-17, P-18, E-11</t>
        </is>
      </c>
      <c r="J24" s="2" t="inlineStr">
        <is>
          <t>epic trace</t>
        </is>
      </c>
      <c r="K24" s="3" t="inlineStr">
        <is>
          <t>As a compliance officer, I can place and lift a legal hold that overrides scheduled disposal.</t>
        </is>
      </c>
      <c r="L24" s="3" t="inlineStr">
        <is>
          <t>a held record is never disposed of regardless of its retention period; placing and lifting a hold requires authorisation and is audited.</t>
        </is>
      </c>
    </row>
    <row r="25" ht="108" customHeight="1">
      <c r="A25" s="2" t="inlineStr">
        <is>
          <t>E5-S5</t>
        </is>
      </c>
      <c r="B25" s="2" t="inlineStr">
        <is>
          <t>E5</t>
        </is>
      </c>
      <c r="C25" s="3" t="inlineStr">
        <is>
          <t>Document handling, versioning and retention</t>
        </is>
      </c>
      <c r="D25" s="3" t="inlineStr">
        <is>
          <t>Phase 1 — Foundation</t>
        </is>
      </c>
      <c r="E25" s="2" t="inlineStr">
        <is>
          <t>L</t>
        </is>
      </c>
      <c r="F25" s="2" t="inlineStr">
        <is>
          <t>Partial</t>
        </is>
      </c>
      <c r="G25" s="3" t="inlineStr">
        <is>
          <t>Daily retention.flag_due_for_disposal (hooks.py) schedules a Disposition Event for each archive past retention, held ones as held; nothing is deleted. consilium_core.tests.test_core_controls_wave3.TestScheduledDisposalReview (all 5), TestRetention.test_an_approved_disposal_executes. execute_disposition has no caller: no endpoint, desk button or job, so an approved disposal cannot be carried out from any screen (executed_on is read-only on the desk form)</t>
        </is>
      </c>
      <c r="H25" s="3" t="inlineStr">
        <is>
          <t>Done 3, Partial 2</t>
        </is>
      </c>
      <c r="I25" s="3" t="inlineStr">
        <is>
          <t>G-15, G-16, P-17, P-18, E-11</t>
        </is>
      </c>
      <c r="J25" s="2" t="inlineStr">
        <is>
          <t>epic trace</t>
        </is>
      </c>
      <c r="K25" s="3" t="inlineStr">
        <is>
          <t>As a compliance officer, records past their retention period are disposed of on a defined schedule, with a certificate of what was disposed.</t>
        </is>
      </c>
      <c r="L25" s="3" t="inlineStr">
        <is>
          <t>[struck through: disposal runs on a schedule, skips held records, and writes a disposal record that survives the disposal.] records past retention are flagged on a daily schedule for a disposal a named person approves; held records are flagged as held and never disposed of; an executed disposal writes a record that survives it. Revised 2026-09-18: disposal is never automatic (retention rule 3); the schedule flags, a named approver decides.</t>
        </is>
      </c>
    </row>
    <row r="26" ht="56" customHeight="1">
      <c r="A26" s="2" t="inlineStr">
        <is>
          <t>E6-S1</t>
        </is>
      </c>
      <c r="B26" s="2" t="inlineStr">
        <is>
          <t>E6</t>
        </is>
      </c>
      <c r="C26" s="3" t="inlineStr">
        <is>
          <t>Forum inventory</t>
        </is>
      </c>
      <c r="D26" s="3" t="inlineStr">
        <is>
          <t>Phase 2 — Governance forums</t>
        </is>
      </c>
      <c r="E26" s="2" t="inlineStr">
        <is>
          <t>M</t>
        </is>
      </c>
      <c r="F26" s="2" t="inlineStr">
        <is>
          <t>Done</t>
        </is>
      </c>
      <c r="G26" s="3" t="inlineStr">
        <is>
          <t>Governance Forum on /forums, /forum and desk. governance.tests.test_entities.TestGovernanceEntities, test_inventory.TestSearchAndFilter.test_free_text_search_covers_identifier_name_and_mandate.</t>
        </is>
      </c>
      <c r="H26" s="3" t="inlineStr">
        <is>
          <t>Done 6</t>
        </is>
      </c>
      <c r="I26" s="3" t="inlineStr">
        <is>
          <t>G-1, G-2, G-3, G-4, G-19</t>
        </is>
      </c>
      <c r="J26" s="2" t="inlineStr">
        <is>
          <t>epic trace</t>
        </is>
      </c>
      <c r="K26" s="3" t="inlineStr">
        <is>
          <t>As a governance user, I maintain a forum record with its identifying and ownership details.</t>
        </is>
      </c>
      <c r="L26" s="3" t="inlineStr">
        <is>
          <t>all specified fields are present; required fields are enforced; the record is searchable by name and code.</t>
        </is>
      </c>
    </row>
    <row r="27" ht="43" customHeight="1">
      <c r="A27" s="2" t="inlineStr">
        <is>
          <t>E6-S2</t>
        </is>
      </c>
      <c r="B27" s="2" t="inlineStr">
        <is>
          <t>E6</t>
        </is>
      </c>
      <c r="C27" s="3" t="inlineStr">
        <is>
          <t>Forum inventory</t>
        </is>
      </c>
      <c r="D27" s="3" t="inlineStr">
        <is>
          <t>Phase 2 — Governance forums</t>
        </is>
      </c>
      <c r="E27" s="2" t="inlineStr">
        <is>
          <t>M</t>
        </is>
      </c>
      <c r="F27" s="2" t="inlineStr">
        <is>
          <t>Done</t>
        </is>
      </c>
      <c r="G27" s="3" t="inlineStr">
        <is>
          <t>Four multi-valued child tables, two single links. TestGovernanceEntities.test_four_dimensions_are_multi_valued_and_two_are_not.</t>
        </is>
      </c>
      <c r="H27" s="3" t="inlineStr">
        <is>
          <t>Done 6</t>
        </is>
      </c>
      <c r="I27" s="3" t="inlineStr">
        <is>
          <t>G-1, G-2, G-3, G-4, G-19</t>
        </is>
      </c>
      <c r="J27" s="2" t="inlineStr">
        <is>
          <t>epic trace</t>
        </is>
      </c>
      <c r="K27" s="3" t="inlineStr">
        <is>
          <t>As a governance user, I tag a forum against the shared taxonomies.</t>
        </is>
      </c>
      <c r="L27" s="3" t="inlineStr">
        <is>
          <t>business unit, risk type, legal entity and jurisdiction accept multiple values; primary risk category and owning organisation accept one; a test covers both shapes.</t>
        </is>
      </c>
    </row>
    <row r="28" ht="82" customHeight="1">
      <c r="A28" s="2" t="inlineStr">
        <is>
          <t>E6-S3</t>
        </is>
      </c>
      <c r="B28" s="2" t="inlineStr">
        <is>
          <t>E6</t>
        </is>
      </c>
      <c r="C28" s="3" t="inlineStr">
        <is>
          <t>Forum inventory</t>
        </is>
      </c>
      <c r="D28" s="3" t="inlineStr">
        <is>
          <t>Phase 2 — Governance forums</t>
        </is>
      </c>
      <c r="E28" s="2" t="inlineStr">
        <is>
          <t>M</t>
        </is>
      </c>
      <c r="F28" s="2" t="inlineStr">
        <is>
          <t>Done</t>
        </is>
      </c>
      <c r="G28" s="3" t="inlineStr">
        <is>
          <t>/forums now filters by the four multi-valued dimensions too (inventory.inventory_filters, tagged_forum_names, intersecting, permission-checked, retired values marked), alongside type, status, cadence, category, group and standing. governance.tests.test_governance_gaps.TestInventoryReads, test_inventory.TestSearchAndFilter.</t>
        </is>
      </c>
      <c r="H28" s="3" t="inlineStr">
        <is>
          <t>Done 6</t>
        </is>
      </c>
      <c r="I28" s="3" t="inlineStr">
        <is>
          <t>G-1, G-2, G-3, G-4, G-19</t>
        </is>
      </c>
      <c r="J28" s="2" t="inlineStr">
        <is>
          <t>epic trace</t>
        </is>
      </c>
      <c r="K28" s="3" t="inlineStr">
        <is>
          <t>As a governance user, I search and filter the inventory.</t>
        </is>
      </c>
      <c r="L28" s="3" t="inlineStr">
        <is>
          <t>filter by any tagged dimension and by status; free-text search across name, code and mandate; results paginate, sort and respect permissions.</t>
        </is>
      </c>
    </row>
    <row r="29" ht="56" customHeight="1">
      <c r="A29" s="2" t="inlineStr">
        <is>
          <t>E6-S4</t>
        </is>
      </c>
      <c r="B29" s="2" t="inlineStr">
        <is>
          <t>E6</t>
        </is>
      </c>
      <c r="C29" s="3" t="inlineStr">
        <is>
          <t>Forum inventory</t>
        </is>
      </c>
      <c r="D29" s="3" t="inlineStr">
        <is>
          <t>Phase 2 — Governance forums</t>
        </is>
      </c>
      <c r="E29" s="2" t="inlineStr">
        <is>
          <t>M</t>
        </is>
      </c>
      <c r="F29" s="2" t="inlineStr">
        <is>
          <t>Done</t>
        </is>
      </c>
      <c r="G29" s="3" t="inlineStr">
        <is>
          <t>parent_forum, Forum Link; both directions drawn on /forum and on the home map. governance.tests.test_inventory.TestRelationships, TestGovernanceEntities.test_a_forum_cannot_be_its_own_ancestor.</t>
        </is>
      </c>
      <c r="H29" s="3" t="inlineStr">
        <is>
          <t>Done 6</t>
        </is>
      </c>
      <c r="I29" s="3" t="inlineStr">
        <is>
          <t>G-1, G-2, G-3, G-4, G-19</t>
        </is>
      </c>
      <c r="J29" s="2" t="inlineStr">
        <is>
          <t>epic trace</t>
        </is>
      </c>
      <c r="K29" s="3" t="inlineStr">
        <is>
          <t>As a governance user, I map a forum to related forums.</t>
        </is>
      </c>
      <c r="L29" s="3" t="inlineStr">
        <is>
          <t>parent, sub-forum, upstream and downstream relationships; a forum cannot be its own ancestor; the inverse relationship is visible from the other side.</t>
        </is>
      </c>
    </row>
    <row r="30" ht="43" customHeight="1">
      <c r="A30" s="2" t="inlineStr">
        <is>
          <t>E6-S5</t>
        </is>
      </c>
      <c r="B30" s="2" t="inlineStr">
        <is>
          <t>E6</t>
        </is>
      </c>
      <c r="C30" s="3" t="inlineStr">
        <is>
          <t>Forum inventory</t>
        </is>
      </c>
      <c r="D30" s="3" t="inlineStr">
        <is>
          <t>Phase 2 — Governance forums</t>
        </is>
      </c>
      <c r="E30" s="2" t="inlineStr">
        <is>
          <t>S</t>
        </is>
      </c>
      <c r="F30" s="2" t="inlineStr">
        <is>
          <t>Done</t>
        </is>
      </c>
      <c r="G30" s="3" t="inlineStr">
        <is>
          <t>Forum Regulatory Requirement required under the flag. TestGovernanceEntities.test_regulatory_detail_becomes_required_when_the_flag_is_set.</t>
        </is>
      </c>
      <c r="H30" s="3" t="inlineStr">
        <is>
          <t>Done 6</t>
        </is>
      </c>
      <c r="I30" s="3" t="inlineStr">
        <is>
          <t>G-1, G-2, G-3, G-4, G-19</t>
        </is>
      </c>
      <c r="J30" s="2" t="inlineStr">
        <is>
          <t>epic trace</t>
        </is>
      </c>
      <c r="K30" s="3" t="inlineStr">
        <is>
          <t>As a governance user, I record that a forum is regulatory-required and cite the requirement.</t>
        </is>
      </c>
      <c r="L30" s="3" t="inlineStr">
        <is>
          <t>a flag with dependent fields that become required when set.</t>
        </is>
      </c>
    </row>
    <row r="31" ht="43" customHeight="1">
      <c r="A31" s="2" t="inlineStr">
        <is>
          <t>E6-S6</t>
        </is>
      </c>
      <c r="B31" s="2" t="inlineStr">
        <is>
          <t>E6</t>
        </is>
      </c>
      <c r="C31" s="3" t="inlineStr">
        <is>
          <t>Forum inventory</t>
        </is>
      </c>
      <c r="D31" s="3" t="inlineStr">
        <is>
          <t>Phase 2 — Governance forums</t>
        </is>
      </c>
      <c r="E31" s="2" t="inlineStr">
        <is>
          <t>S</t>
        </is>
      </c>
      <c r="F31" s="2" t="inlineStr">
        <is>
          <t>Done</t>
        </is>
      </c>
      <c r="G31" s="3" t="inlineStr">
        <is>
          <t>Governing Document.approving_forum, Escalation Forum Link (active forums only). escalation.tests.test_routing.TestRouting.test_an_inactive_forum_cannot_be_a_destination.</t>
        </is>
      </c>
      <c r="H31" s="3" t="inlineStr">
        <is>
          <t>Done 6</t>
        </is>
      </c>
      <c r="I31" s="3" t="inlineStr">
        <is>
          <t>G-1, G-2, G-3, G-4, G-19</t>
        </is>
      </c>
      <c r="J31" s="2" t="inlineStr">
        <is>
          <t>epic trace</t>
        </is>
      </c>
      <c r="K31" s="3" t="inlineStr">
        <is>
          <t>As a user of another module, I can select a forum from authoritative data.</t>
        </is>
      </c>
      <c r="L31" s="3" t="inlineStr">
        <is>
          <t>policy and escalation records link to forums directly; no copy of forum data exists in those modules.</t>
        </is>
      </c>
    </row>
    <row r="32" ht="43" customHeight="1">
      <c r="A32" s="2" t="inlineStr">
        <is>
          <t>E7-S1</t>
        </is>
      </c>
      <c r="B32" s="2" t="inlineStr">
        <is>
          <t>E7</t>
        </is>
      </c>
      <c r="C32" s="3" t="inlineStr">
        <is>
          <t>Committee formation</t>
        </is>
      </c>
      <c r="D32" s="3" t="inlineStr">
        <is>
          <t>Phase 2 — Governance forums</t>
        </is>
      </c>
      <c r="E32" s="2" t="inlineStr">
        <is>
          <t>M</t>
        </is>
      </c>
      <c r="F32" s="2" t="inlineStr">
        <is>
          <t>Done</t>
        </is>
      </c>
      <c r="G32" s="3" t="inlineStr">
        <is>
          <t>/create-forum warns of the compliance review; formation.submit_request. governance.tests.test_formation.TestIntake.</t>
        </is>
      </c>
      <c r="H32" s="3" t="inlineStr">
        <is>
          <t>Done 6</t>
        </is>
      </c>
      <c r="I32" s="3" t="inlineStr">
        <is>
          <t>G-5, G-6, G-7, G-8, G-17, G-18</t>
        </is>
      </c>
      <c r="J32" s="2" t="inlineStr">
        <is>
          <t>epic trace</t>
        </is>
      </c>
      <c r="K32" s="3" t="inlineStr">
        <is>
          <t>As a requester, I submit an intake request to create, modify or retire a forum.</t>
        </is>
      </c>
      <c r="L32" s="3" t="inlineStr">
        <is>
          <t>a single intake form covers all three intents; required fields are enforced before submission; the form warns the requester that compliance review is required before they begin.</t>
        </is>
      </c>
    </row>
    <row r="33" ht="43" customHeight="1">
      <c r="A33" s="2" t="inlineStr">
        <is>
          <t>E7-S2</t>
        </is>
      </c>
      <c r="B33" s="2" t="inlineStr">
        <is>
          <t>E7</t>
        </is>
      </c>
      <c r="C33" s="3" t="inlineStr">
        <is>
          <t>Committee formation</t>
        </is>
      </c>
      <c r="D33" s="3" t="inlineStr">
        <is>
          <t>Phase 2 — Governance forums</t>
        </is>
      </c>
      <c r="E33" s="2" t="inlineStr">
        <is>
          <t>M</t>
        </is>
      </c>
      <c r="F33" s="2" t="inlineStr">
        <is>
          <t>Done</t>
        </is>
      </c>
      <c r="G33" s="3" t="inlineStr">
        <is>
          <t>Findings on /formation-request. test_formation.TestEvaluation, test_formation_portal.TestFindings.</t>
        </is>
      </c>
      <c r="H33" s="3" t="inlineStr">
        <is>
          <t>Done 6</t>
        </is>
      </c>
      <c r="I33" s="3" t="inlineStr">
        <is>
          <t>G-5, G-6, G-7, G-8, G-17, G-18</t>
        </is>
      </c>
      <c r="J33" s="2" t="inlineStr">
        <is>
          <t>epic trace</t>
        </is>
      </c>
      <c r="K33" s="3" t="inlineStr">
        <is>
          <t>As a governance office reviewer, I evaluate a request against the standard criteria.</t>
        </is>
      </c>
      <c r="L33" s="3" t="inlineStr">
        <is>
          <t>coverage gap, duplication, escalation pathway clarity, framework alignment and resource feasibility are each recorded with a finding and a comment; the request cannot be approved until each is assessed.</t>
        </is>
      </c>
    </row>
    <row r="34" ht="69" customHeight="1">
      <c r="A34" s="2" t="inlineStr">
        <is>
          <t>E7-S3</t>
        </is>
      </c>
      <c r="B34" s="2" t="inlineStr">
        <is>
          <t>E7</t>
        </is>
      </c>
      <c r="C34" s="3" t="inlineStr">
        <is>
          <t>Committee formation</t>
        </is>
      </c>
      <c r="D34" s="3" t="inlineStr">
        <is>
          <t>Phase 2 — Governance forums</t>
        </is>
      </c>
      <c r="E34" s="2" t="inlineStr">
        <is>
          <t>S</t>
        </is>
      </c>
      <c r="F34" s="2" t="inlineStr">
        <is>
          <t>Done</t>
        </is>
      </c>
      <c r="G34" s="3" t="inlineStr">
        <is>
          <t>return_request_to_originator, respond_to_returned_request; the notice goes through its template. test_formation.TestReturnToOriginator, test_formation_portal.TestReturnAndRespond, test_wave3_governance.TestTemplatedNotices.test_a_returned_request_is_told_through_its_template.</t>
        </is>
      </c>
      <c r="H34" s="3" t="inlineStr">
        <is>
          <t>Done 6</t>
        </is>
      </c>
      <c r="I34" s="3" t="inlineStr">
        <is>
          <t>G-5, G-6, G-7, G-8, G-17, G-18</t>
        </is>
      </c>
      <c r="J34" s="2" t="inlineStr">
        <is>
          <t>epic trace</t>
        </is>
      </c>
      <c r="K34" s="3" t="inlineStr">
        <is>
          <t>As a governance office reviewer, I can return a request to its originator with questions.</t>
        </is>
      </c>
      <c r="L34" s="3" t="inlineStr">
        <is>
          <t>returning is a workflow transition, not a comment; the originator is notified; the exchange is preserved on the record.</t>
        </is>
      </c>
    </row>
    <row r="35" ht="121" customHeight="1">
      <c r="A35" s="2" t="inlineStr">
        <is>
          <t>E7-S4</t>
        </is>
      </c>
      <c r="B35" s="2" t="inlineStr">
        <is>
          <t>E7</t>
        </is>
      </c>
      <c r="C35" s="3" t="inlineStr">
        <is>
          <t>Committee formation</t>
        </is>
      </c>
      <c r="D35" s="3" t="inlineStr">
        <is>
          <t>Phase 2 — Governance forums</t>
        </is>
      </c>
      <c r="E35" s="2" t="inlineStr">
        <is>
          <t>L</t>
        </is>
      </c>
      <c r="F35" s="2" t="inlineStr">
        <is>
          <t>Done</t>
        </is>
      </c>
      <c r="G35" s="3" t="inlineStr">
        <is>
          <t>Sequential order is now enforced in Core (approvals.record_decision, is_turn), and /formation-request offers a step only in its turn. Parallel and peer steps do not wait. Role-based steps form a queue. A bypass needs an Exception Authorisation and waives only its own step. consilium_core.tests.test_core_controls_wave3.TestSequentialApprovals, governance.tests.test_wave3_governance.TestFormationStepOrder, test_w3_guides.TestABypassWaivesOnlyItsOwnStep, TestARoleIsAQueue, test_formation.TestApprovalRoute.</t>
        </is>
      </c>
      <c r="H35" s="3" t="inlineStr">
        <is>
          <t>Done 6</t>
        </is>
      </c>
      <c r="I35" s="3" t="inlineStr">
        <is>
          <t>G-5, G-6, G-7, G-8, G-17, G-18</t>
        </is>
      </c>
      <c r="J35" s="2" t="inlineStr">
        <is>
          <t>epic trace</t>
        </is>
      </c>
      <c r="K35" s="3" t="inlineStr">
        <is>
          <t>As an approver, I approve or reject a request through a configurable multi-step workflow.</t>
        </is>
      </c>
      <c r="L35" s="3" t="inlineStr">
        <is>
          <t>approval steps are configuration; steps can be role-based, sequential or parallel; no step can be bypassed without a recorded exception.</t>
        </is>
      </c>
    </row>
    <row r="36" ht="43" customHeight="1">
      <c r="A36" s="2" t="inlineStr">
        <is>
          <t>E7-S5</t>
        </is>
      </c>
      <c r="B36" s="2" t="inlineStr">
        <is>
          <t>E7</t>
        </is>
      </c>
      <c r="C36" s="3" t="inlineStr">
        <is>
          <t>Committee formation</t>
        </is>
      </c>
      <c r="D36" s="3" t="inlineStr">
        <is>
          <t>Phase 2 — Governance forums</t>
        </is>
      </c>
      <c r="E36" s="2" t="inlineStr">
        <is>
          <t>M</t>
        </is>
      </c>
      <c r="F36" s="2" t="inlineStr">
        <is>
          <t>Done</t>
        </is>
      </c>
      <c r="G36" s="3" t="inlineStr">
        <is>
          <t>formation.approve_request creates the forum in draft, linked both ways (CFR-2026-00001 → FRM-2026-00014). test_formation.TestApprovalCreatesTheForum.</t>
        </is>
      </c>
      <c r="H36" s="3" t="inlineStr">
        <is>
          <t>Done 6</t>
        </is>
      </c>
      <c r="I36" s="3" t="inlineStr">
        <is>
          <t>G-5, G-6, G-7, G-8, G-17, G-18</t>
        </is>
      </c>
      <c r="J36" s="2" t="inlineStr">
        <is>
          <t>epic trace</t>
        </is>
      </c>
      <c r="K36" s="3" t="inlineStr">
        <is>
          <t>As a governance user, an approved request creates a forum in draft.</t>
        </is>
      </c>
      <c r="L36" s="3" t="inlineStr">
        <is>
          <t>approval creates the forum record with the request's data carried across; the link between request and forum is navigable in both directions.</t>
        </is>
      </c>
    </row>
    <row r="37" ht="43" customHeight="1">
      <c r="A37" s="2" t="inlineStr">
        <is>
          <t>E7-S6</t>
        </is>
      </c>
      <c r="B37" s="2" t="inlineStr">
        <is>
          <t>E7</t>
        </is>
      </c>
      <c r="C37" s="3" t="inlineStr">
        <is>
          <t>Committee formation</t>
        </is>
      </c>
      <c r="D37" s="3" t="inlineStr">
        <is>
          <t>Phase 2 — Governance forums</t>
        </is>
      </c>
      <c r="E37" s="2" t="inlineStr">
        <is>
          <t>M</t>
        </is>
      </c>
      <c r="F37" s="2" t="inlineStr">
        <is>
          <t>Done</t>
        </is>
      </c>
      <c r="G37" s="3" t="inlineStr">
        <is>
          <t>Exception to the designated authority with a rationale. test_formation.TestExceptionRoute, test_formation_portal.TestExceptionThroughThePortal.</t>
        </is>
      </c>
      <c r="H37" s="3" t="inlineStr">
        <is>
          <t>Done 6</t>
        </is>
      </c>
      <c r="I37" s="3" t="inlineStr">
        <is>
          <t>G-5, G-6, G-7, G-8, G-17, G-18</t>
        </is>
      </c>
      <c r="J37" s="2" t="inlineStr">
        <is>
          <t>epic trace</t>
        </is>
      </c>
      <c r="K37" s="3" t="inlineStr">
        <is>
          <t>As a governance office reviewer, I resolve a disputed request through a defined exception path.</t>
        </is>
      </c>
      <c r="L37" s="3" t="inlineStr">
        <is>
          <t>an exception state routes to the designated authority and requires a recorded rationale.</t>
        </is>
      </c>
    </row>
    <row r="38" ht="69" customHeight="1">
      <c r="A38" s="2" t="inlineStr">
        <is>
          <t>E8-S1</t>
        </is>
      </c>
      <c r="B38" s="2" t="inlineStr">
        <is>
          <t>E8</t>
        </is>
      </c>
      <c r="C38" s="3" t="inlineStr">
        <is>
          <t>Forum lifecycle</t>
        </is>
      </c>
      <c r="D38" s="3" t="inlineStr">
        <is>
          <t>Phase 2 — Governance forums</t>
        </is>
      </c>
      <c r="E38" s="2" t="inlineStr">
        <is>
          <t>M</t>
        </is>
      </c>
      <c r="F38" s="2" t="inlineStr">
        <is>
          <t>Done</t>
        </is>
      </c>
      <c r="G38" s="3" t="inlineStr">
        <is>
          <t>/forum-review, lifecycle.record_compliance_review. A favourable decision is refused while a charter challenge is open. governance.tests.test_lifecycle.TestComplianceReview, test_formation_portal.TestComplianceReviewThroughThePortal, test_governance_gaps.TestStandingGate.</t>
        </is>
      </c>
      <c r="H38" s="3" t="inlineStr">
        <is>
          <t>Done 5</t>
        </is>
      </c>
      <c r="I38" s="3" t="inlineStr">
        <is>
          <t>G-10, G-11</t>
        </is>
      </c>
      <c r="J38" s="2" t="inlineStr">
        <is>
          <t>epic trace</t>
        </is>
      </c>
      <c r="K38" s="3" t="inlineStr">
        <is>
          <t>As a compliance reviewer, I move a forum through its compliance states.</t>
        </is>
      </c>
      <c r="L38" s="3" t="inlineStr">
        <is>
          <t>draft, pending, compliant, non-compliant and not-applicable; only compliance roles may set the outcome states; every transition is audited.</t>
        </is>
      </c>
    </row>
    <row r="39" ht="43" customHeight="1">
      <c r="A39" s="2" t="inlineStr">
        <is>
          <t>E8-S2</t>
        </is>
      </c>
      <c r="B39" s="2" t="inlineStr">
        <is>
          <t>E8</t>
        </is>
      </c>
      <c r="C39" s="3" t="inlineStr">
        <is>
          <t>Forum lifecycle</t>
        </is>
      </c>
      <c r="D39" s="3" t="inlineStr">
        <is>
          <t>Phase 2 — Governance forums</t>
        </is>
      </c>
      <c r="E39" s="2" t="inlineStr">
        <is>
          <t>S</t>
        </is>
      </c>
      <c r="F39" s="2" t="inlineStr">
        <is>
          <t>Done</t>
        </is>
      </c>
      <c r="G39" s="3" t="inlineStr">
        <is>
          <t>"Returned To Creator" with questions on /forum-review (FCR-2026-00012 on FRM-2026-00011). TestComplianceReview.test_returning_to_the_creator_is_a_transition_carrying_questions.</t>
        </is>
      </c>
      <c r="H39" s="3" t="inlineStr">
        <is>
          <t>Done 5</t>
        </is>
      </c>
      <c r="I39" s="3" t="inlineStr">
        <is>
          <t>G-10, G-11</t>
        </is>
      </c>
      <c r="J39" s="2" t="inlineStr">
        <is>
          <t>epic trace</t>
        </is>
      </c>
      <c r="K39" s="3" t="inlineStr">
        <is>
          <t>As a compliance reviewer, I return a forum to its creator with comments.</t>
        </is>
      </c>
      <c r="L39" s="3" t="inlineStr">
        <is>
          <t>as E7-S3, on the forum record.</t>
        </is>
      </c>
    </row>
    <row r="40" ht="69" customHeight="1">
      <c r="A40" s="2" t="inlineStr">
        <is>
          <t>E8-S3</t>
        </is>
      </c>
      <c r="B40" s="2" t="inlineStr">
        <is>
          <t>E8</t>
        </is>
      </c>
      <c r="C40" s="3" t="inlineStr">
        <is>
          <t>Forum lifecycle</t>
        </is>
      </c>
      <c r="D40" s="3" t="inlineStr">
        <is>
          <t>Phase 2 — Governance forums</t>
        </is>
      </c>
      <c r="E40" s="2" t="inlineStr">
        <is>
          <t>M</t>
        </is>
      </c>
      <c r="F40" s="2" t="inlineStr">
        <is>
          <t>Done</t>
        </is>
      </c>
      <c r="G40" s="3" t="inlineStr">
        <is>
          <t>Watched Field Set on desk; watched_fields.on_update; templated notice. governance.tests.test_lifecycle.TestWatchedFields, consilium_core.tests.test_core_controls_wave3.TestWatchedFieldEvent, test_wave3_governance.TestTemplatedNotices.test_compliance_is_told_of_a_review_through_its_template.</t>
        </is>
      </c>
      <c r="H40" s="3" t="inlineStr">
        <is>
          <t>Done 5</t>
        </is>
      </c>
      <c r="I40" s="3" t="inlineStr">
        <is>
          <t>G-10, G-11</t>
        </is>
      </c>
      <c r="J40" s="2" t="inlineStr">
        <is>
          <t>epic trace</t>
        </is>
      </c>
      <c r="K40" s="3" t="inlineStr">
        <is>
          <t>As a compliance administrator, changes to designated fields send a forum back for review automatically.</t>
        </is>
      </c>
      <c r="L40" s="3" t="inlineStr">
        <is>
          <t>the watched-field list is configuration, editable without a deployment; changing a watched field moves the forum to pending and notifies compliance; changing an unwatched field does not.</t>
        </is>
      </c>
    </row>
    <row r="41" ht="121" customHeight="1">
      <c r="A41" s="2" t="inlineStr">
        <is>
          <t>E8-S4</t>
        </is>
      </c>
      <c r="B41" s="2" t="inlineStr">
        <is>
          <t>E8</t>
        </is>
      </c>
      <c r="C41" s="3" t="inlineStr">
        <is>
          <t>Forum lifecycle</t>
        </is>
      </c>
      <c r="D41" s="3" t="inlineStr">
        <is>
          <t>Phase 2 — Governance forums</t>
        </is>
      </c>
      <c r="E41" s="2" t="inlineStr">
        <is>
          <t>M</t>
        </is>
      </c>
      <c r="F41" s="2" t="inlineStr">
        <is>
          <t>Done</t>
        </is>
      </c>
      <c r="G41" s="3" t="inlineStr">
        <is>
          <t>Annual review panel on /forum-review#annual-review (reviews.start_forum_annual_review, record_forum_annual_review). The owner answers and compliance counter-signs in /tasks. next_review_on makes it due; the daily reminders.remind_forum_reviews chases overdue reviews and missing signatures. FCR-2026-00015/16/17 on the demo. governance.tests.test_w3_guides.TestAnnualReviewFromTheForum, test_lifecycle.TestAnnualReview, consilium_core.tests.test_reminders.TestForumReviewReminders, test_inbox.TestSecondSignature.</t>
        </is>
      </c>
      <c r="H41" s="3" t="inlineStr">
        <is>
          <t>Done 5</t>
        </is>
      </c>
      <c r="I41" s="3" t="inlineStr">
        <is>
          <t>G-10, G-11</t>
        </is>
      </c>
      <c r="J41" s="2" t="inlineStr">
        <is>
          <t>epic trace</t>
        </is>
      </c>
      <c r="K41" s="3" t="inlineStr">
        <is>
          <t>As a forum owner, I complete the required annual review.</t>
        </is>
      </c>
      <c r="L41" s="3" t="inlineStr">
        <is>
          <t>review is due on a schedule; both the owner and compliance must confirm; an incomplete review is visible as an exception.</t>
        </is>
      </c>
    </row>
    <row r="42" ht="95" customHeight="1">
      <c r="A42" s="2" t="inlineStr">
        <is>
          <t>E8-S5</t>
        </is>
      </c>
      <c r="B42" s="2" t="inlineStr">
        <is>
          <t>E8</t>
        </is>
      </c>
      <c r="C42" s="3" t="inlineStr">
        <is>
          <t>Forum lifecycle</t>
        </is>
      </c>
      <c r="D42" s="3" t="inlineStr">
        <is>
          <t>Phase 2 — Governance forums</t>
        </is>
      </c>
      <c r="E42" s="2" t="inlineStr">
        <is>
          <t>M</t>
        </is>
      </c>
      <c r="F42" s="2" t="inlineStr">
        <is>
          <t>Done</t>
        </is>
      </c>
      <c r="G42" s="3" t="inlineStr">
        <is>
          <t>/forum-disband: raise, attach plan, approver or delegate decisions, execute (lifecycle.execute_forum_disbandment waits for every approval; the forum goes inactive, never deleted). Approvers are asked through the governance.disbandment.approval_requested template. FDIS-2026-00002 is live on the demo. governance.tests.test_governance_gaps.TestDisbandmentPortal, test_lifecycle.TestDisbandment.</t>
        </is>
      </c>
      <c r="H42" s="3" t="inlineStr">
        <is>
          <t>Done 5</t>
        </is>
      </c>
      <c r="I42" s="3" t="inlineStr">
        <is>
          <t>G-10, G-11</t>
        </is>
      </c>
      <c r="J42" s="2" t="inlineStr">
        <is>
          <t>epic trace</t>
        </is>
      </c>
      <c r="K42" s="3" t="inlineStr">
        <is>
          <t>As an approver, I disband a forum through a controlled workflow.</t>
        </is>
      </c>
      <c r="L42" s="3" t="inlineStr">
        <is>
          <t>disbandment requires the specified approvals; the forum becomes inactive rather than deleted; its history and documents remain and remain subject to retention.</t>
        </is>
      </c>
    </row>
    <row r="43" ht="43" customHeight="1">
      <c r="A43" s="2" t="inlineStr">
        <is>
          <t>E9-S1</t>
        </is>
      </c>
      <c r="B43" s="2" t="inlineStr">
        <is>
          <t>E9</t>
        </is>
      </c>
      <c r="C43" s="3" t="inlineStr">
        <is>
          <t>Membership, delegation and quorum</t>
        </is>
      </c>
      <c r="D43" s="3" t="inlineStr">
        <is>
          <t>Phase 2 — Governance forums</t>
        </is>
      </c>
      <c r="E43" s="2" t="inlineStr">
        <is>
          <t>S</t>
        </is>
      </c>
      <c r="F43" s="2" t="inlineStr">
        <is>
          <t>Done</t>
        </is>
      </c>
      <c r="G43" s="3" t="inlineStr">
        <is>
          <t>Governance Forum Role carries quorum, vote and attest flags (10 roles on the demo). consilium_core.tests.test_entities.TestTaxonomies.test_the_seeded_seat_roles_carry_their_behaviour.</t>
        </is>
      </c>
      <c r="H43" s="3" t="inlineStr">
        <is>
          <t>Done 6</t>
        </is>
      </c>
      <c r="I43" s="3" t="inlineStr">
        <is>
          <t>G-13, G-14, E-7</t>
        </is>
      </c>
      <c r="J43" s="2" t="inlineStr">
        <is>
          <t>epic trace</t>
        </is>
      </c>
      <c r="K43" s="3" t="inlineStr">
        <is>
          <t>As an administrator, I maintain the list of membership roles.</t>
        </is>
      </c>
      <c r="L43" s="3" t="inlineStr">
        <is>
          <t>roles are data, not code; each carries whether it counts toward quorum, whether it votes by default and whether it can attest.</t>
        </is>
      </c>
    </row>
    <row r="44" ht="43" customHeight="1">
      <c r="A44" s="2" t="inlineStr">
        <is>
          <t>E9-S2</t>
        </is>
      </c>
      <c r="B44" s="2" t="inlineStr">
        <is>
          <t>E9</t>
        </is>
      </c>
      <c r="C44" s="3" t="inlineStr">
        <is>
          <t>Membership, delegation and quorum</t>
        </is>
      </c>
      <c r="D44" s="3" t="inlineStr">
        <is>
          <t>Phase 2 — Governance forums</t>
        </is>
      </c>
      <c r="E44" s="2" t="inlineStr">
        <is>
          <t>M</t>
        </is>
      </c>
      <c r="F44" s="2" t="inlineStr">
        <is>
          <t>Done</t>
        </is>
      </c>
      <c r="G44" s="3" t="inlineStr">
        <is>
          <t>Forum Membership with dates, closed not deleted (desk; secretary and governance office may write). governance.tests.test_membership.TestMembershipHistory.</t>
        </is>
      </c>
      <c r="H44" s="3" t="inlineStr">
        <is>
          <t>Done 6</t>
        </is>
      </c>
      <c r="I44" s="3" t="inlineStr">
        <is>
          <t>G-13, G-14, E-7</t>
        </is>
      </c>
      <c r="J44" s="2" t="inlineStr">
        <is>
          <t>epic trace</t>
        </is>
      </c>
      <c r="K44" s="3" t="inlineStr">
        <is>
          <t>As a forum secretary, I add and remove members with effective dates.</t>
        </is>
      </c>
      <c r="L44" s="3" t="inlineStr">
        <is>
          <t>membership is a record with a from-date and an optional to-date; removing a member ends the record rather than deleting it.</t>
        </is>
      </c>
    </row>
    <row r="45" ht="30" customHeight="1">
      <c r="A45" s="2" t="inlineStr">
        <is>
          <t>E9-S3</t>
        </is>
      </c>
      <c r="B45" s="2" t="inlineStr">
        <is>
          <t>E9</t>
        </is>
      </c>
      <c r="C45" s="3" t="inlineStr">
        <is>
          <t>Membership, delegation and quorum</t>
        </is>
      </c>
      <c r="D45" s="3" t="inlineStr">
        <is>
          <t>Phase 2 — Governance forums</t>
        </is>
      </c>
      <c r="E45" s="2" t="inlineStr">
        <is>
          <t>M</t>
        </is>
      </c>
      <c r="F45" s="2" t="inlineStr">
        <is>
          <t>Done</t>
        </is>
      </c>
      <c r="G45" s="3" t="inlineStr">
        <is>
          <t>"Membership as at" on /forum. TestMembershipHistory.test_who_sat_on_a_forum_at_a_past_date.</t>
        </is>
      </c>
      <c r="H45" s="3" t="inlineStr">
        <is>
          <t>Done 6</t>
        </is>
      </c>
      <c r="I45" s="3" t="inlineStr">
        <is>
          <t>G-13, G-14, E-7</t>
        </is>
      </c>
      <c r="J45" s="2" t="inlineStr">
        <is>
          <t>epic trace</t>
        </is>
      </c>
      <c r="K45" s="3" t="inlineStr">
        <is>
          <t>As an auditor, I can see who sat on a forum at any past date.</t>
        </is>
      </c>
      <c r="L45" s="3" t="inlineStr">
        <is>
          <t>a query by date returns the membership as it stood then; a test covers a member who joined and left before the query date.</t>
        </is>
      </c>
    </row>
    <row r="46" ht="30" customHeight="1">
      <c r="A46" s="2" t="inlineStr">
        <is>
          <t>E9-S4</t>
        </is>
      </c>
      <c r="B46" s="2" t="inlineStr">
        <is>
          <t>E9</t>
        </is>
      </c>
      <c r="C46" s="3" t="inlineStr">
        <is>
          <t>Membership, delegation and quorum</t>
        </is>
      </c>
      <c r="D46" s="3" t="inlineStr">
        <is>
          <t>Phase 2 — Governance forums</t>
        </is>
      </c>
      <c r="E46" s="2" t="inlineStr">
        <is>
          <t>M</t>
        </is>
      </c>
      <c r="F46" s="2" t="inlineStr">
        <is>
          <t>Done</t>
        </is>
      </c>
      <c r="G46" s="3" t="inlineStr">
        <is>
          <t>Position seats that may stand vacant. governance.tests.test_membership.TestSeatShape.</t>
        </is>
      </c>
      <c r="H46" s="3" t="inlineStr">
        <is>
          <t>Done 6</t>
        </is>
      </c>
      <c r="I46" s="3" t="inlineStr">
        <is>
          <t>G-13, G-14, E-7</t>
        </is>
      </c>
      <c r="J46" s="2" t="inlineStr">
        <is>
          <t>epic trace</t>
        </is>
      </c>
      <c r="K46" s="3" t="inlineStr">
        <is>
          <t>As a forum secretary, I record a seat held by position rather than by a named person.</t>
        </is>
      </c>
      <c r="L46" s="3" t="inlineStr">
        <is>
          <t>a seat can name a position; the occupant can change without the seat losing identity or history.</t>
        </is>
      </c>
    </row>
    <row r="47" ht="56" customHeight="1">
      <c r="A47" s="2" t="inlineStr">
        <is>
          <t>E9-S5</t>
        </is>
      </c>
      <c r="B47" s="2" t="inlineStr">
        <is>
          <t>E9</t>
        </is>
      </c>
      <c r="C47" s="3" t="inlineStr">
        <is>
          <t>Membership, delegation and quorum</t>
        </is>
      </c>
      <c r="D47" s="3" t="inlineStr">
        <is>
          <t>Phase 2 — Governance forums</t>
        </is>
      </c>
      <c r="E47" s="2" t="inlineStr">
        <is>
          <t>M</t>
        </is>
      </c>
      <c r="F47" s="2" t="inlineStr">
        <is>
          <t>Done</t>
        </is>
      </c>
      <c r="G47" s="3" t="inlineStr">
        <is>
          <t>Delegate with dates and vote flag; "Standing delegate" on /forum; a delegate may cast the seat's ballot on /forum-motion where the seat allows (FMEM-00031). governance.tests.test_membership.TestDelegation, test_voting.TestDelegatedVoting.</t>
        </is>
      </c>
      <c r="H47" s="3" t="inlineStr">
        <is>
          <t>Done 6</t>
        </is>
      </c>
      <c r="I47" s="3" t="inlineStr">
        <is>
          <t>G-13, G-14, E-7</t>
        </is>
      </c>
      <c r="J47" s="2" t="inlineStr">
        <is>
          <t>epic trace</t>
        </is>
      </c>
      <c r="K47" s="3" t="inlineStr">
        <is>
          <t>As a member, I delegate my seat for a period.</t>
        </is>
      </c>
      <c r="L47" s="3" t="inlineStr">
        <is>
          <t>a delegation records who delegated, to whom and for how long; the delegate inherits voting rights only if the role permits; delegation is visible on the forum.</t>
        </is>
      </c>
    </row>
    <row r="48" ht="43" customHeight="1">
      <c r="A48" s="2" t="inlineStr">
        <is>
          <t>E9-S6</t>
        </is>
      </c>
      <c r="B48" s="2" t="inlineStr">
        <is>
          <t>E9</t>
        </is>
      </c>
      <c r="C48" s="3" t="inlineStr">
        <is>
          <t>Membership, delegation and quorum</t>
        </is>
      </c>
      <c r="D48" s="3" t="inlineStr">
        <is>
          <t>Phase 2 — Governance forums</t>
        </is>
      </c>
      <c r="E48" s="2" t="inlineStr">
        <is>
          <t>M</t>
        </is>
      </c>
      <c r="F48" s="2" t="inlineStr">
        <is>
          <t>Done</t>
        </is>
      </c>
      <c r="G48" s="3" t="inlineStr">
        <is>
          <t>Count or percentage per forum (membership.quorum_status); the verdict is stored on each sitting and motion. governance.tests.test_membership.TestQuorum.</t>
        </is>
      </c>
      <c r="H48" s="3" t="inlineStr">
        <is>
          <t>Done 6</t>
        </is>
      </c>
      <c r="I48" s="3" t="inlineStr">
        <is>
          <t>G-13, G-14, E-7</t>
        </is>
      </c>
      <c r="J48" s="2" t="inlineStr">
        <is>
          <t>epic trace</t>
        </is>
      </c>
      <c r="K48" s="3" t="inlineStr">
        <is>
          <t>As a forum secretary, quorum is calculated from current voting membership.</t>
        </is>
      </c>
      <c r="L48" s="3" t="inlineStr">
        <is>
          <t>the quorum rule is configurable per forum as a count or a percentage; the system reports whether quorum is met for a given date.</t>
        </is>
      </c>
    </row>
    <row r="49" ht="69" customHeight="1">
      <c r="A49" s="2" t="inlineStr">
        <is>
          <t>E10-S1</t>
        </is>
      </c>
      <c r="B49" s="2" t="inlineStr">
        <is>
          <t>E10</t>
        </is>
      </c>
      <c r="C49" s="3" t="inlineStr">
        <is>
          <t>Voting and decisions</t>
        </is>
      </c>
      <c r="D49" s="3" t="inlineStr">
        <is>
          <t>Phase 2 — Governance forums</t>
        </is>
      </c>
      <c r="E49" s="2" t="inlineStr">
        <is>
          <t>M</t>
        </is>
      </c>
      <c r="F49" s="2" t="inlineStr">
        <is>
          <t>Done</t>
        </is>
      </c>
      <c r="G49" s="3" t="inlineStr">
        <is>
          <t>/forum-motion (voting.propose_motion, secretary only) and Forum Motion links forum, sitting, date and subject record. 24 motions on the demo. governance.tests.test_voting.TestRecordedDecisions, test_w3_guides.TestVotingScreen.test_only_the_secretary_puts_a_motion_or_records_its_outcome.</t>
        </is>
      </c>
      <c r="H49" s="3" t="inlineStr">
        <is>
          <t>Done 4</t>
        </is>
      </c>
      <c r="I49" s="3" t="inlineStr">
        <is>
          <t>G-12</t>
        </is>
      </c>
      <c r="J49" s="2" t="inlineStr">
        <is>
          <t>epic trace</t>
        </is>
      </c>
      <c r="K49" s="3" t="inlineStr">
        <is>
          <t>As a forum secretary, I record a matter put to a forum for decision.</t>
        </is>
      </c>
      <c r="L49" s="3" t="inlineStr">
        <is>
          <t>a decision record links to the forum, the date, the matter and any related policy or escalation.</t>
        </is>
      </c>
    </row>
    <row r="50" ht="82" customHeight="1">
      <c r="A50" s="2" t="inlineStr">
        <is>
          <t>E10-S2</t>
        </is>
      </c>
      <c r="B50" s="2" t="inlineStr">
        <is>
          <t>E10</t>
        </is>
      </c>
      <c r="C50" s="3" t="inlineStr">
        <is>
          <t>Voting and decisions</t>
        </is>
      </c>
      <c r="D50" s="3" t="inlineStr">
        <is>
          <t>Phase 2 — Governance forums</t>
        </is>
      </c>
      <c r="E50" s="2" t="inlineStr">
        <is>
          <t>L</t>
        </is>
      </c>
      <c r="F50" s="2" t="inlineStr">
        <is>
          <t>Done</t>
        </is>
      </c>
      <c r="G50" s="3" t="inlineStr">
        <is>
          <t>Entitlement as at the decision date. Members (or seat delegates) cast their own ballots on /forum-motion (voting.cast_my_vote), and the tally shows for, against and abstentions. Known gap: there is no attendance entry, so presence for quorum is taken from ballots cast. test_voting.TestEntitlement, TestDelegatedVoting, test_w3_guides.TestVotingScreen.</t>
        </is>
      </c>
      <c r="H50" s="3" t="inlineStr">
        <is>
          <t>Done 4</t>
        </is>
      </c>
      <c r="I50" s="3" t="inlineStr">
        <is>
          <t>G-12</t>
        </is>
      </c>
      <c r="J50" s="2" t="inlineStr">
        <is>
          <t>epic trace</t>
        </is>
      </c>
      <c r="K50" s="3" t="inlineStr">
        <is>
          <t>As a forum secretary, I record votes against a decision.</t>
        </is>
      </c>
      <c r="L50" s="3" t="inlineStr">
        <is>
          <t>who was entitled to vote at that date, who voted, how they voted and abstentions; entitlement is derived from membership as at the decision date, not as at today.</t>
        </is>
      </c>
    </row>
    <row r="51" ht="69" customHeight="1">
      <c r="A51" s="2" t="inlineStr">
        <is>
          <t>E10-S3</t>
        </is>
      </c>
      <c r="B51" s="2" t="inlineStr">
        <is>
          <t>E10</t>
        </is>
      </c>
      <c r="C51" s="3" t="inlineStr">
        <is>
          <t>Voting and decisions</t>
        </is>
      </c>
      <c r="D51" s="3" t="inlineStr">
        <is>
          <t>Phase 2 — Governance forums</t>
        </is>
      </c>
      <c r="E51" s="2" t="inlineStr">
        <is>
          <t>M</t>
        </is>
      </c>
      <c r="F51" s="2" t="inlineStr">
        <is>
          <t>Done</t>
        </is>
      </c>
      <c r="G51" s="3" t="inlineStr">
        <is>
          <t>Quorum is stored when the outcome is recorded; an inquorate sitting cannot record a standing decision (FMOT-2026-00018 recorded Inquorate). TestRecordedDecisions.test_a_later_membership_change_does_not_rewrite_a_past_quorum, test_w3_guides.TestVotingScreen.test_a_decision_does_not_stand_on_an_inquorate_sitting.</t>
        </is>
      </c>
      <c r="H51" s="3" t="inlineStr">
        <is>
          <t>Done 4</t>
        </is>
      </c>
      <c r="I51" s="3" t="inlineStr">
        <is>
          <t>G-12</t>
        </is>
      </c>
      <c r="J51" s="2" t="inlineStr">
        <is>
          <t>epic trace</t>
        </is>
      </c>
      <c r="K51" s="3" t="inlineStr">
        <is>
          <t>As an auditor, I can see whether quorum was met when a decision was taken.</t>
        </is>
      </c>
      <c r="L51" s="3" t="inlineStr">
        <is>
          <t>quorum status is calculated and stored on the decision at the time it is recorded, so later membership changes do not rewrite history.</t>
        </is>
      </c>
    </row>
    <row r="52" ht="43" customHeight="1">
      <c r="A52" s="2" t="inlineStr">
        <is>
          <t>E10-S4</t>
        </is>
      </c>
      <c r="B52" s="2" t="inlineStr">
        <is>
          <t>E10</t>
        </is>
      </c>
      <c r="C52" s="3" t="inlineStr">
        <is>
          <t>Voting and decisions</t>
        </is>
      </c>
      <c r="D52" s="3" t="inlineStr">
        <is>
          <t>Phase 2 — Governance forums</t>
        </is>
      </c>
      <c r="E52" s="2" t="inlineStr">
        <is>
          <t>S</t>
        </is>
      </c>
      <c r="F52" s="2" t="inlineStr">
        <is>
          <t>Done</t>
        </is>
      </c>
      <c r="G52" s="3" t="inlineStr">
        <is>
          <t>Motions table on /forum (Decisions tab); desk list export. TestRecordedDecisions.test_a_forum_s_decisions_are_listable_and_filterable.</t>
        </is>
      </c>
      <c r="H52" s="3" t="inlineStr">
        <is>
          <t>Done 4</t>
        </is>
      </c>
      <c r="I52" s="3" t="inlineStr">
        <is>
          <t>G-12</t>
        </is>
      </c>
      <c r="J52" s="2" t="inlineStr">
        <is>
          <t>epic trace</t>
        </is>
      </c>
      <c r="K52" s="3" t="inlineStr">
        <is>
          <t>As a governance user, I can see all decisions taken by a forum.</t>
        </is>
      </c>
      <c r="L52" s="3" t="inlineStr">
        <is>
          <t>a decision list per forum, filterable by date and outcome, exportable.</t>
        </is>
      </c>
    </row>
    <row r="53" ht="56" customHeight="1">
      <c r="A53" s="2" t="inlineStr">
        <is>
          <t>E11-S1</t>
        </is>
      </c>
      <c r="B53" s="2" t="inlineStr">
        <is>
          <t>E11</t>
        </is>
      </c>
      <c r="C53" s="3" t="inlineStr">
        <is>
          <t>Policy repository</t>
        </is>
      </c>
      <c r="D53" s="3" t="inlineStr">
        <is>
          <t>Phase 3 — Policy</t>
        </is>
      </c>
      <c r="E53" s="2" t="inlineStr">
        <is>
          <t>M</t>
        </is>
      </c>
      <c r="F53" s="2" t="inlineStr">
        <is>
          <t>Done</t>
        </is>
      </c>
      <c r="G53" s="3" t="inlineStr">
        <is>
          <t>Governing Document on the desk, shown on /policy, with correction in place (metadata.correct_metadata). policy.test_repository.TestGoverningDocument, policy.test_wave3.TestMetadataCorrection</t>
        </is>
      </c>
      <c r="H53" s="3" t="inlineStr">
        <is>
          <t>Done 5</t>
        </is>
      </c>
      <c r="I53" s="3" t="inlineStr">
        <is>
          <t>P-1, P-2, P-3, P-4, P-21</t>
        </is>
      </c>
      <c r="J53" s="2" t="inlineStr">
        <is>
          <t>epic trace</t>
        </is>
      </c>
      <c r="K53" s="3" t="inlineStr">
        <is>
          <t>As a policy user, I maintain a policy record with its full metadata.</t>
        </is>
      </c>
      <c r="L53" s="3" t="inlineStr">
        <is>
          <t>all specified metadata fields; required fields enforced; document type drawn from the taxonomy.</t>
        </is>
      </c>
    </row>
    <row r="54" ht="56" customHeight="1">
      <c r="A54" s="2" t="inlineStr">
        <is>
          <t>E11-S2</t>
        </is>
      </c>
      <c r="B54" s="2" t="inlineStr">
        <is>
          <t>E11</t>
        </is>
      </c>
      <c r="C54" s="3" t="inlineStr">
        <is>
          <t>Policy repository</t>
        </is>
      </c>
      <c r="D54" s="3" t="inlineStr">
        <is>
          <t>Phase 3 — Policy</t>
        </is>
      </c>
      <c r="E54" s="2" t="inlineStr">
        <is>
          <t>M</t>
        </is>
      </c>
      <c r="F54" s="2" t="inlineStr">
        <is>
          <t>Done</t>
        </is>
      </c>
      <c r="G54" s="3" t="inlineStr">
        <is>
          <t>/policies filters by type, phase, group, risk category, handling and owner (repository.owners), and does content search through repository.search, which covers the current version's text and respects handling. policy.test_wave3.TestSearch (all 4)</t>
        </is>
      </c>
      <c r="H54" s="3" t="inlineStr">
        <is>
          <t>Done 5</t>
        </is>
      </c>
      <c r="I54" s="3" t="inlineStr">
        <is>
          <t>P-1, P-2, P-3, P-4, P-21</t>
        </is>
      </c>
      <c r="J54" s="2" t="inlineStr">
        <is>
          <t>epic trace</t>
        </is>
      </c>
      <c r="K54" s="3" t="inlineStr">
        <is>
          <t>As a policy user, I search and filter the repository.</t>
        </is>
      </c>
      <c r="L54" s="3" t="inlineStr">
        <is>
          <t>filter by type, owner, status, risk category and organisation; full-text search across title and content; results respect permissions.</t>
        </is>
      </c>
    </row>
    <row r="55" ht="43" customHeight="1">
      <c r="A55" s="2" t="inlineStr">
        <is>
          <t>E11-S3</t>
        </is>
      </c>
      <c r="B55" s="2" t="inlineStr">
        <is>
          <t>E11</t>
        </is>
      </c>
      <c r="C55" s="3" t="inlineStr">
        <is>
          <t>Policy repository</t>
        </is>
      </c>
      <c r="D55" s="3" t="inlineStr">
        <is>
          <t>Phase 3 — Policy</t>
        </is>
      </c>
      <c r="E55" s="2" t="inlineStr">
        <is>
          <t>M</t>
        </is>
      </c>
      <c r="F55" s="2" t="inlineStr">
        <is>
          <t>Done</t>
        </is>
      </c>
      <c r="G55" s="3" t="inlineStr">
        <is>
          <t>lineage.lineage_of drawn on /policy; a restricted child is not named. policy.test_repository.TestLineage, policy.test_wave3.TestLineageVisibility</t>
        </is>
      </c>
      <c r="H55" s="3" t="inlineStr">
        <is>
          <t>Done 5</t>
        </is>
      </c>
      <c r="I55" s="3" t="inlineStr">
        <is>
          <t>P-1, P-2, P-3, P-4, P-21</t>
        </is>
      </c>
      <c r="J55" s="2" t="inlineStr">
        <is>
          <t>epic trace</t>
        </is>
      </c>
      <c r="K55" s="3" t="inlineStr">
        <is>
          <t>As a policy user, I record relationships between documents.</t>
        </is>
      </c>
      <c r="L55" s="3" t="inlineStr">
        <is>
          <t>parent, child and addendum lineage; navigable in both directions; circular lineage prevented.</t>
        </is>
      </c>
    </row>
    <row r="56" ht="43" customHeight="1">
      <c r="A56" s="2" t="inlineStr">
        <is>
          <t>E11-S4</t>
        </is>
      </c>
      <c r="B56" s="2" t="inlineStr">
        <is>
          <t>E11</t>
        </is>
      </c>
      <c r="C56" s="3" t="inlineStr">
        <is>
          <t>Policy repository</t>
        </is>
      </c>
      <c r="D56" s="3" t="inlineStr">
        <is>
          <t>Phase 3 — Policy</t>
        </is>
      </c>
      <c r="E56" s="2" t="inlineStr">
        <is>
          <t>M</t>
        </is>
      </c>
      <c r="F56" s="2" t="inlineStr">
        <is>
          <t>Done</t>
        </is>
      </c>
      <c r="G56" s="3" t="inlineStr">
        <is>
          <t>Document Applicability and Applicability Exemption on the desk, shown on /policy. test_repository.TestApplicability, policy.test_entities.TestExemptionLifecycle</t>
        </is>
      </c>
      <c r="H56" s="3" t="inlineStr">
        <is>
          <t>Done 5</t>
        </is>
      </c>
      <c r="I56" s="3" t="inlineStr">
        <is>
          <t>P-1, P-2, P-3, P-4, P-21</t>
        </is>
      </c>
      <c r="J56" s="2" t="inlineStr">
        <is>
          <t>epic trace</t>
        </is>
      </c>
      <c r="K56" s="3" t="inlineStr">
        <is>
          <t>As a policy owner, I record where a policy applies.</t>
        </is>
      </c>
      <c r="L56" s="3" t="inlineStr">
        <is>
          <t>applicability covers organisation units, legal entities, jurisdictions and roles, and records formal exemptions with their approvals.</t>
        </is>
      </c>
    </row>
    <row r="57" ht="69" customHeight="1">
      <c r="A57" s="2" t="inlineStr">
        <is>
          <t>E11-S5</t>
        </is>
      </c>
      <c r="B57" s="2" t="inlineStr">
        <is>
          <t>E11</t>
        </is>
      </c>
      <c r="C57" s="3" t="inlineStr">
        <is>
          <t>Policy repository</t>
        </is>
      </c>
      <c r="D57" s="3" t="inlineStr">
        <is>
          <t>Phase 3 — Policy</t>
        </is>
      </c>
      <c r="E57" s="2" t="inlineStr">
        <is>
          <t>M</t>
        </is>
      </c>
      <c r="F57" s="2" t="inlineStr">
        <is>
          <t>Done</t>
        </is>
      </c>
      <c r="G57" s="3" t="inlineStr">
        <is>
          <t>Publication raises policy.document.audience (publish_record on /policy). A new version in force raises policy.document.changed and retirement policy.document.retired (disposition.py), each to applicability.affected_parties. policy.test_wave3.TestChangeAndRetirement, policy.test_wave3_policy.TestAudienceNotice</t>
        </is>
      </c>
      <c r="H57" s="3" t="inlineStr">
        <is>
          <t>Done 5</t>
        </is>
      </c>
      <c r="I57" s="3" t="inlineStr">
        <is>
          <t>P-1, P-2, P-3, P-4, P-21</t>
        </is>
      </c>
      <c r="J57" s="2" t="inlineStr">
        <is>
          <t>epic trace</t>
        </is>
      </c>
      <c r="K57" s="3" t="inlineStr">
        <is>
          <t>As an affected party, I am notified when a policy that applies to me is published, changed or retired.</t>
        </is>
      </c>
      <c r="L57" s="3" t="inlineStr">
        <is>
          <t>notification derives from applicability rather than a manual list.</t>
        </is>
      </c>
    </row>
    <row r="58" ht="43" customHeight="1">
      <c r="A58" s="2" t="inlineStr">
        <is>
          <t>E12-S1</t>
        </is>
      </c>
      <c r="B58" s="2" t="inlineStr">
        <is>
          <t>E12</t>
        </is>
      </c>
      <c r="C58" s="3" t="inlineStr">
        <is>
          <t>Policy lifecycle</t>
        </is>
      </c>
      <c r="D58" s="3" t="inlineStr">
        <is>
          <t>Phase 3 — Policy</t>
        </is>
      </c>
      <c r="E58" s="2" t="inlineStr">
        <is>
          <t>M</t>
        </is>
      </c>
      <c r="F58" s="2" t="inlineStr">
        <is>
          <t>Done</t>
        </is>
      </c>
      <c r="G58" s="3" t="inlineStr">
        <is>
          <t>Document Intake Request, raised on /policy-intake (intake.raise_request) or on the desk. policy.test_intake.TestIntakeRequest, policy.test_portal_actions.TestIntake</t>
        </is>
      </c>
      <c r="H58" s="3" t="inlineStr">
        <is>
          <t>Done 6</t>
        </is>
      </c>
      <c r="I58" s="3" t="inlineStr">
        <is>
          <t>P-5, P-6, P-7, P-8, P-25</t>
        </is>
      </c>
      <c r="J58" s="2" t="inlineStr">
        <is>
          <t>epic trace</t>
        </is>
      </c>
      <c r="K58" s="3" t="inlineStr">
        <is>
          <t>As a business user, I request a new or amended policy.</t>
        </is>
      </c>
      <c r="L58" s="3" t="inlineStr">
        <is>
          <t>an intake request captures the need, the proposed implementation date and who must be engaged.</t>
        </is>
      </c>
    </row>
    <row r="59" ht="108" customHeight="1">
      <c r="A59" s="2" t="inlineStr">
        <is>
          <t>E12-S2</t>
        </is>
      </c>
      <c r="B59" s="2" t="inlineStr">
        <is>
          <t>E12</t>
        </is>
      </c>
      <c r="C59" s="3" t="inlineStr">
        <is>
          <t>Policy lifecycle</t>
        </is>
      </c>
      <c r="D59" s="3" t="inlineStr">
        <is>
          <t>Phase 3 — Policy</t>
        </is>
      </c>
      <c r="E59" s="2" t="inlineStr">
        <is>
          <t>L</t>
        </is>
      </c>
      <c r="F59" s="2" t="inlineStr">
        <is>
          <t>Done</t>
        </is>
      </c>
      <c r="G59" s="3" t="inlineStr">
        <is>
          <t>The Governing Document Lifecycle Workflow is driven from /policy (lifecycle.document_actions and take_action, POST only). A new state needs no schema change (derive_phase_from_state, opt-in). policy.test_lifecycle.TestLifecycleConfiguration, TestLifecycleTransitions, policy.test_portal_actions.TestLifecycleActions, policy.test_w3_state_phase.TestDerivedPhase. Known limit: the reviewer's "Return to Drafting" works on the portal, not the desk</t>
        </is>
      </c>
      <c r="H59" s="3" t="inlineStr">
        <is>
          <t>Done 6</t>
        </is>
      </c>
      <c r="I59" s="3" t="inlineStr">
        <is>
          <t>P-5, P-6, P-7, P-8, P-25</t>
        </is>
      </c>
      <c r="J59" s="2" t="inlineStr">
        <is>
          <t>epic trace</t>
        </is>
      </c>
      <c r="K59" s="3" t="inlineStr">
        <is>
          <t>As a drafter, I move a policy through drafting, review, approval, publication, periodic review and retirement.</t>
        </is>
      </c>
      <c r="L59" s="3" t="inlineStr">
        <is>
          <t>states and transitions are configuration; role-based; every transition audited; no state name is hard-coded in business logic.</t>
        </is>
      </c>
    </row>
    <row r="60" ht="43" customHeight="1">
      <c r="A60" s="2" t="inlineStr">
        <is>
          <t>E12-S3</t>
        </is>
      </c>
      <c r="B60" s="2" t="inlineStr">
        <is>
          <t>E12</t>
        </is>
      </c>
      <c r="C60" s="3" t="inlineStr">
        <is>
          <t>Policy lifecycle</t>
        </is>
      </c>
      <c r="D60" s="3" t="inlineStr">
        <is>
          <t>Phase 3 — Policy</t>
        </is>
      </c>
      <c r="E60" s="2" t="inlineStr">
        <is>
          <t>L</t>
        </is>
      </c>
      <c r="F60" s="2" t="inlineStr">
        <is>
          <t>Done</t>
        </is>
      </c>
      <c r="G60" s="3" t="inlineStr">
        <is>
          <t>Approval Route configuration. /policy shows the planned steps (routing.approval_context) before raise_steps. test_lifecycle.TestApprovalRouting, policy.test_portal_actions.TestApprovalChain</t>
        </is>
      </c>
      <c r="H60" s="3" t="inlineStr">
        <is>
          <t>Done 6</t>
        </is>
      </c>
      <c r="I60" s="3" t="inlineStr">
        <is>
          <t>P-5, P-6, P-7, P-8, P-25</t>
        </is>
      </c>
      <c r="J60" s="2" t="inlineStr">
        <is>
          <t>epic trace</t>
        </is>
      </c>
      <c r="K60" s="3" t="inlineStr">
        <is>
          <t>As an approver, approvals route by policy type, change type and risk level.</t>
        </is>
      </c>
      <c r="L60" s="3" t="inlineStr">
        <is>
          <t>conditional routing is configuration; the resulting path is visible on the record before submission.</t>
        </is>
      </c>
    </row>
    <row r="61" ht="43" customHeight="1">
      <c r="A61" s="2" t="inlineStr">
        <is>
          <t>E12-S4</t>
        </is>
      </c>
      <c r="B61" s="2" t="inlineStr">
        <is>
          <t>E12</t>
        </is>
      </c>
      <c r="C61" s="3" t="inlineStr">
        <is>
          <t>Policy lifecycle</t>
        </is>
      </c>
      <c r="D61" s="3" t="inlineStr">
        <is>
          <t>Phase 3 — Policy</t>
        </is>
      </c>
      <c r="E61" s="2" t="inlineStr">
        <is>
          <t>M</t>
        </is>
      </c>
      <c r="F61" s="2" t="inlineStr">
        <is>
          <t>Done</t>
        </is>
      </c>
      <c r="G61" s="3" t="inlineStr">
        <is>
          <t>The parent-owner step is derived from lineage (routing.resolved_steps) and raised from /policy. test_lifecycle.TestParentOwnerApproval. No demo relationship row sets owner_approval_required</t>
        </is>
      </c>
      <c r="H61" s="3" t="inlineStr">
        <is>
          <t>Done 6</t>
        </is>
      </c>
      <c r="I61" s="3" t="inlineStr">
        <is>
          <t>P-5, P-6, P-7, P-8, P-25</t>
        </is>
      </c>
      <c r="J61" s="2" t="inlineStr">
        <is>
          <t>epic trace</t>
        </is>
      </c>
      <c r="K61" s="3" t="inlineStr">
        <is>
          <t>As a policy owner, parent policy owners approve changes to child documents where required.</t>
        </is>
      </c>
      <c r="L61" s="3" t="inlineStr">
        <is>
          <t>the requirement is derived from lineage; the parent owner's approval is a distinct step.</t>
        </is>
      </c>
    </row>
    <row r="62" ht="56" customHeight="1">
      <c r="A62" s="2" t="inlineStr">
        <is>
          <t>E12-S5</t>
        </is>
      </c>
      <c r="B62" s="2" t="inlineStr">
        <is>
          <t>E12</t>
        </is>
      </c>
      <c r="C62" s="3" t="inlineStr">
        <is>
          <t>Policy lifecycle</t>
        </is>
      </c>
      <c r="D62" s="3" t="inlineStr">
        <is>
          <t>Phase 3 — Policy</t>
        </is>
      </c>
      <c r="E62" s="2" t="inlineStr">
        <is>
          <t>M</t>
        </is>
      </c>
      <c r="F62" s="2" t="inlineStr">
        <is>
          <t>Done</t>
        </is>
      </c>
      <c r="G62" s="3" t="inlineStr">
        <is>
          <t>Applicability Exemption (desk form, authorisation and expiry, daily lapse). Gate exceptions are requested by the owner on /policy and approved by the policy office. policy.test_entities.TestExemptionLifecycle, policy.test_wave3.TestGateExceptions</t>
        </is>
      </c>
      <c r="H62" s="3" t="inlineStr">
        <is>
          <t>Done 6</t>
        </is>
      </c>
      <c r="I62" s="3" t="inlineStr">
        <is>
          <t>P-5, P-6, P-7, P-8, P-25</t>
        </is>
      </c>
      <c r="J62" s="2" t="inlineStr">
        <is>
          <t>epic trace</t>
        </is>
      </c>
      <c r="K62" s="3" t="inlineStr">
        <is>
          <t>As a policy owner, I raise an exception or exemption request through a form and workflow.</t>
        </is>
      </c>
      <c r="L62" s="3" t="inlineStr">
        <is>
          <t>exceptions are records with their own approval path and expiry.</t>
        </is>
      </c>
    </row>
    <row r="63" ht="56" customHeight="1">
      <c r="A63" s="2" t="inlineStr">
        <is>
          <t>E12-S6</t>
        </is>
      </c>
      <c r="B63" s="2" t="inlineStr">
        <is>
          <t>E12</t>
        </is>
      </c>
      <c r="C63" s="3" t="inlineStr">
        <is>
          <t>Policy lifecycle</t>
        </is>
      </c>
      <c r="D63" s="3" t="inlineStr">
        <is>
          <t>Phase 3 — Policy</t>
        </is>
      </c>
      <c r="E63" s="2" t="inlineStr">
        <is>
          <t>M</t>
        </is>
      </c>
      <c r="F63" s="2" t="inlineStr">
        <is>
          <t>Done</t>
        </is>
      </c>
      <c r="G63" s="3" t="inlineStr">
        <is>
          <t>Gates run on every route (GoverningDocument.validate), and the refusal names the gate on /policy. test_lifecycle.TestPublicationRefusal, policy.test_regressions.TestGatesOnEveryRoute, policy.test_w3_record_approval.TestRecordApprovalChecksTheChain</t>
        </is>
      </c>
      <c r="H63" s="3" t="inlineStr">
        <is>
          <t>Done 6</t>
        </is>
      </c>
      <c r="I63" s="3" t="inlineStr">
        <is>
          <t>P-5, P-6, P-7, P-8, P-25</t>
        </is>
      </c>
      <c r="J63" s="2" t="inlineStr">
        <is>
          <t>epic trace</t>
        </is>
      </c>
      <c r="K63" s="3" t="inlineStr">
        <is>
          <t>As a compliance officer, publication cannot occur without approval.</t>
        </is>
      </c>
      <c r="L63" s="3" t="inlineStr">
        <is>
          <t>the transition to published is refused without a complete approval chain; bypass requires a recorded, authorised exception.</t>
        </is>
      </c>
    </row>
    <row r="64" ht="56" customHeight="1">
      <c r="A64" s="2" t="inlineStr">
        <is>
          <t>E13-S1</t>
        </is>
      </c>
      <c r="B64" s="2" t="inlineStr">
        <is>
          <t>E13</t>
        </is>
      </c>
      <c r="C64" s="3" t="inlineStr">
        <is>
          <t>Intake classification</t>
        </is>
      </c>
      <c r="D64" s="3" t="inlineStr">
        <is>
          <t>Phase 3 — Policy</t>
        </is>
      </c>
      <c r="E64" s="2" t="inlineStr">
        <is>
          <t>M</t>
        </is>
      </c>
      <c r="F64" s="2" t="inlineStr">
        <is>
          <t>Done</t>
        </is>
      </c>
      <c r="G64" s="3" t="inlineStr">
        <is>
          <t>Classification Question and its options on the desk, rendered by /policy-intake (intake.form_options). test_intake.TestClassification.test_an_administrator_can_add_a_question_without_a_code_change</t>
        </is>
      </c>
      <c r="H64" s="3" t="inlineStr">
        <is>
          <t>Done 4</t>
        </is>
      </c>
      <c r="I64" s="3" t="inlineStr">
        <is>
          <t>P-16</t>
        </is>
      </c>
      <c r="J64" s="2" t="inlineStr">
        <is>
          <t>epic trace</t>
        </is>
      </c>
      <c r="K64" s="3" t="inlineStr">
        <is>
          <t>As an administrator, I define the classification questions.</t>
        </is>
      </c>
      <c r="L64" s="3" t="inlineStr">
        <is>
          <t>questions, answer options and ordering are data; adding a question requires no code change.</t>
        </is>
      </c>
    </row>
    <row r="65" ht="56" customHeight="1">
      <c r="A65" s="2" t="inlineStr">
        <is>
          <t>E13-S2</t>
        </is>
      </c>
      <c r="B65" s="2" t="inlineStr">
        <is>
          <t>E13</t>
        </is>
      </c>
      <c r="C65" s="3" t="inlineStr">
        <is>
          <t>Intake classification</t>
        </is>
      </c>
      <c r="D65" s="3" t="inlineStr">
        <is>
          <t>Phase 3 — Policy</t>
        </is>
      </c>
      <c r="E65" s="2" t="inlineStr">
        <is>
          <t>L</t>
        </is>
      </c>
      <c r="F65" s="2" t="inlineStr">
        <is>
          <t>Done</t>
        </is>
      </c>
      <c r="G65" s="3" t="inlineStr">
        <is>
          <t>Versioned Classification Rule Set, locked once used. consilium_core.test_classification.TestClassification, test_intake.TestClassification.test_the_rule_set_version_is_stored_on_the_assessment</t>
        </is>
      </c>
      <c r="H65" s="3" t="inlineStr">
        <is>
          <t>Done 4</t>
        </is>
      </c>
      <c r="I65" s="3" t="inlineStr">
        <is>
          <t>P-16</t>
        </is>
      </c>
      <c r="J65" s="2" t="inlineStr">
        <is>
          <t>epic trace</t>
        </is>
      </c>
      <c r="K65" s="3" t="inlineStr">
        <is>
          <t>As an administrator, I define the rules that turn answers into a classification.</t>
        </is>
      </c>
      <c r="L65" s="3" t="inlineStr">
        <is>
          <t>rules are data; the rule set is versioned; the version used is stored on each classified request.</t>
        </is>
      </c>
    </row>
    <row r="66" ht="69" customHeight="1">
      <c r="A66" s="2" t="inlineStr">
        <is>
          <t>E13-S3</t>
        </is>
      </c>
      <c r="B66" s="2" t="inlineStr">
        <is>
          <t>E13</t>
        </is>
      </c>
      <c r="C66" s="3" t="inlineStr">
        <is>
          <t>Intake classification</t>
        </is>
      </c>
      <c r="D66" s="3" t="inlineStr">
        <is>
          <t>Phase 3 — Policy</t>
        </is>
      </c>
      <c r="E66" s="2" t="inlineStr">
        <is>
          <t>M</t>
        </is>
      </c>
      <c r="F66" s="2" t="inlineStr">
        <is>
          <t>Done</t>
        </is>
      </c>
      <c r="G66" s="3" t="inlineStr">
        <is>
          <t>/policy-intake classifies (intake.classify_request), shows the matched rule and trace, and records a challenge (challenge_request). policy.test_portal_actions.TestIntake, test_intake.TestClassification.test_the_outcome_is_explained_and_can_be_challenged</t>
        </is>
      </c>
      <c r="H66" s="3" t="inlineStr">
        <is>
          <t>Done 4</t>
        </is>
      </c>
      <c r="I66" s="3" t="inlineStr">
        <is>
          <t>P-16</t>
        </is>
      </c>
      <c r="J66" s="2" t="inlineStr">
        <is>
          <t>epic trace</t>
        </is>
      </c>
      <c r="K66" s="3" t="inlineStr">
        <is>
          <t>As a requester, my answers produce a classification I can see and that is explained.</t>
        </is>
      </c>
      <c r="L66" s="3" t="inlineStr">
        <is>
          <t>the outcome shows which rule fired; the requester can challenge it and the challenge is recorded.</t>
        </is>
      </c>
    </row>
    <row r="67" ht="43" customHeight="1">
      <c r="A67" s="2" t="inlineStr">
        <is>
          <t>E13-S4</t>
        </is>
      </c>
      <c r="B67" s="2" t="inlineStr">
        <is>
          <t>E13</t>
        </is>
      </c>
      <c r="C67" s="3" t="inlineStr">
        <is>
          <t>Intake classification</t>
        </is>
      </c>
      <c r="D67" s="3" t="inlineStr">
        <is>
          <t>Phase 3 — Policy</t>
        </is>
      </c>
      <c r="E67" s="2" t="inlineStr">
        <is>
          <t>M</t>
        </is>
      </c>
      <c r="F67" s="2" t="inlineStr">
        <is>
          <t>Done</t>
        </is>
      </c>
      <c r="G67" s="3" t="inlineStr">
        <is>
          <t>Classification on /policy-intake selects the Major or Minor route and starts POL-INTAKE-MAJOR or MINOR. test_intake.TestClassificationDrivesRoutingAndService</t>
        </is>
      </c>
      <c r="H67" s="3" t="inlineStr">
        <is>
          <t>Done 4</t>
        </is>
      </c>
      <c r="I67" s="3" t="inlineStr">
        <is>
          <t>P-16</t>
        </is>
      </c>
      <c r="J67" s="2" t="inlineStr">
        <is>
          <t>epic trace</t>
        </is>
      </c>
      <c r="K67" s="3" t="inlineStr">
        <is>
          <t>As a policy owner, classification drives routing, approval steps and service levels.</t>
        </is>
      </c>
      <c r="L67" s="3" t="inlineStr">
        <is>
          <t>classification selects the workflow path; a test covers both a major and a minor path.</t>
        </is>
      </c>
    </row>
    <row r="68" ht="43" customHeight="1">
      <c r="A68" s="2" t="inlineStr">
        <is>
          <t>E14-S1</t>
        </is>
      </c>
      <c r="B68" s="2" t="inlineStr">
        <is>
          <t>E14</t>
        </is>
      </c>
      <c r="C68" s="3" t="inlineStr">
        <is>
          <t>Horizon scanning</t>
        </is>
      </c>
      <c r="D68" s="3" t="inlineStr">
        <is>
          <t>Phase 3 — Policy</t>
        </is>
      </c>
      <c r="E68" s="2" t="inlineStr">
        <is>
          <t>M</t>
        </is>
      </c>
      <c r="F68" s="2" t="inlineStr">
        <is>
          <t>Done</t>
        </is>
      </c>
      <c r="G68" s="3" t="inlineStr">
        <is>
          <t>Horizon Scan on the desk and on /policy (horizon.record_scan). policy.test_horizon.TestHorizonScanRecord, policy.test_portal_actions.TestReviewsAndScans</t>
        </is>
      </c>
      <c r="H68" s="3" t="inlineStr">
        <is>
          <t>Done 3</t>
        </is>
      </c>
      <c r="I68" s="3" t="inlineStr">
        <is>
          <t>P-8</t>
        </is>
      </c>
      <c r="J68" s="2" t="inlineStr">
        <is>
          <t>epic trace</t>
        </is>
      </c>
      <c r="K68" s="3" t="inlineStr">
        <is>
          <t>As a policy owner, I record a horizon scan against a policy.</t>
        </is>
      </c>
      <c r="L68" s="3" t="inlineStr">
        <is>
          <t>scan date, period covered, coverage areas, sources reviewed, findings and an impact assessment.</t>
        </is>
      </c>
    </row>
    <row r="69" ht="43" customHeight="1">
      <c r="A69" s="2" t="inlineStr">
        <is>
          <t>E14-S2</t>
        </is>
      </c>
      <c r="B69" s="2" t="inlineStr">
        <is>
          <t>E14</t>
        </is>
      </c>
      <c r="C69" s="3" t="inlineStr">
        <is>
          <t>Horizon scanning</t>
        </is>
      </c>
      <c r="D69" s="3" t="inlineStr">
        <is>
          <t>Phase 3 — Policy</t>
        </is>
      </c>
      <c r="E69" s="2" t="inlineStr">
        <is>
          <t>M</t>
        </is>
      </c>
      <c r="F69" s="2" t="inlineStr">
        <is>
          <t>Done</t>
        </is>
      </c>
      <c r="G69" s="3" t="inlineStr">
        <is>
          <t>Daily horizon.remind_due goes to the owner, then the sponsor, and does not chase daily. test_horizon.TestScanCadence, policy.test_wave3_policy.TestHorizonReminderCadence</t>
        </is>
      </c>
      <c r="H69" s="3" t="inlineStr">
        <is>
          <t>Done 3</t>
        </is>
      </c>
      <c r="I69" s="3" t="inlineStr">
        <is>
          <t>P-8</t>
        </is>
      </c>
      <c r="J69" s="2" t="inlineStr">
        <is>
          <t>epic trace</t>
        </is>
      </c>
      <c r="K69" s="3" t="inlineStr">
        <is>
          <t>As a policy owner, I am reminded when a scan is due.</t>
        </is>
      </c>
      <c r="L69" s="3" t="inlineStr">
        <is>
          <t>due dates derive from the policy's review cadence; reminders escalate when overdue; completion is tracked.</t>
        </is>
      </c>
    </row>
    <row r="70" ht="30" customHeight="1">
      <c r="A70" s="2" t="inlineStr">
        <is>
          <t>E14-S3</t>
        </is>
      </c>
      <c r="B70" s="2" t="inlineStr">
        <is>
          <t>E14</t>
        </is>
      </c>
      <c r="C70" s="3" t="inlineStr">
        <is>
          <t>Horizon scanning</t>
        </is>
      </c>
      <c r="D70" s="3" t="inlineStr">
        <is>
          <t>Phase 3 — Policy</t>
        </is>
      </c>
      <c r="E70" s="2" t="inlineStr">
        <is>
          <t>M</t>
        </is>
      </c>
      <c r="F70" s="2" t="inlineStr">
        <is>
          <t>Done</t>
        </is>
      </c>
      <c r="G70" s="3" t="inlineStr">
        <is>
          <t>A review-triggered scan opens a linked review cycle (PHSC-00002 → PRVC-00001). test_horizon.TestScanTriggersReview</t>
        </is>
      </c>
      <c r="H70" s="3" t="inlineStr">
        <is>
          <t>Done 3</t>
        </is>
      </c>
      <c r="I70" s="3" t="inlineStr">
        <is>
          <t>P-8</t>
        </is>
      </c>
      <c r="J70" s="2" t="inlineStr">
        <is>
          <t>epic trace</t>
        </is>
      </c>
      <c r="K70" s="3" t="inlineStr">
        <is>
          <t>As a policy owner, a scan finding can trigger a policy review.</t>
        </is>
      </c>
      <c r="L70" s="3" t="inlineStr">
        <is>
          <t>an impact assessment of "review triggered" creates the downstream workflow and links it to the scan.</t>
        </is>
      </c>
    </row>
    <row r="71" ht="43" customHeight="1">
      <c r="A71" s="2" t="inlineStr">
        <is>
          <t>E15-S1</t>
        </is>
      </c>
      <c r="B71" s="2" t="inlineStr">
        <is>
          <t>E15</t>
        </is>
      </c>
      <c r="C71" s="3" t="inlineStr">
        <is>
          <t>Monitoring, violations and glossary</t>
        </is>
      </c>
      <c r="D71" s="3" t="inlineStr">
        <is>
          <t>Phase 3 — Policy</t>
        </is>
      </c>
      <c r="E71" s="2" t="inlineStr">
        <is>
          <t>M</t>
        </is>
      </c>
      <c r="F71" s="2" t="inlineStr">
        <is>
          <t>Done</t>
        </is>
      </c>
      <c r="G71" s="3" t="inlineStr">
        <is>
          <t>Monitoring Activity on the desk; results recorded on /policy (monitoring.record_result). policy.test_monitoring.TestMonitoring, policy.test_portal_actions.TestMonitoring</t>
        </is>
      </c>
      <c r="H71" s="3" t="inlineStr">
        <is>
          <t>Done 5</t>
        </is>
      </c>
      <c r="I71" s="3" t="inlineStr">
        <is>
          <t>P-11, P-22, P-23, P-24</t>
        </is>
      </c>
      <c r="J71" s="2" t="inlineStr">
        <is>
          <t>epic trace</t>
        </is>
      </c>
      <c r="K71" s="3" t="inlineStr">
        <is>
          <t>As a policy office user, I record monitoring activities against a policy.</t>
        </is>
      </c>
      <c r="L71" s="3" t="inlineStr">
        <is>
          <t>activity, date, outcome and evidence.</t>
        </is>
      </c>
    </row>
    <row r="72" ht="56" customHeight="1">
      <c r="A72" s="2" t="inlineStr">
        <is>
          <t>E15-S2</t>
        </is>
      </c>
      <c r="B72" s="2" t="inlineStr">
        <is>
          <t>E15</t>
        </is>
      </c>
      <c r="C72" s="3" t="inlineStr">
        <is>
          <t>Monitoring, violations and glossary</t>
        </is>
      </c>
      <c r="D72" s="3" t="inlineStr">
        <is>
          <t>Phase 3 — Policy</t>
        </is>
      </c>
      <c r="E72" s="2" t="inlineStr">
        <is>
          <t>M</t>
        </is>
      </c>
      <c r="F72" s="2" t="inlineStr">
        <is>
          <t>Done</t>
        </is>
      </c>
      <c r="G72" s="3" t="inlineStr">
        <is>
          <t>Logged and moved on from /policy (log_violation and update_violation). The controller guards reopening and closure. The escalation link is set on the desk. test_monitoring.TestViolations, policy.test_wave3.TestViolationTransitions</t>
        </is>
      </c>
      <c r="H72" s="3" t="inlineStr">
        <is>
          <t>Done 5</t>
        </is>
      </c>
      <c r="I72" s="3" t="inlineStr">
        <is>
          <t>P-11, P-22, P-23, P-24</t>
        </is>
      </c>
      <c r="J72" s="2" t="inlineStr">
        <is>
          <t>epic trace</t>
        </is>
      </c>
      <c r="K72" s="3" t="inlineStr">
        <is>
          <t>As a policy office user, I record a violation and track it to resolution.</t>
        </is>
      </c>
      <c r="L72" s="3" t="inlineStr">
        <is>
          <t>violation record with severity, owner, remediation and status; links to the policy and optionally to an escalation.</t>
        </is>
      </c>
    </row>
    <row r="73" ht="30" customHeight="1">
      <c r="A73" s="2" t="inlineStr">
        <is>
          <t>E15-S3</t>
        </is>
      </c>
      <c r="B73" s="2" t="inlineStr">
        <is>
          <t>E15</t>
        </is>
      </c>
      <c r="C73" s="3" t="inlineStr">
        <is>
          <t>Monitoring, violations and glossary</t>
        </is>
      </c>
      <c r="D73" s="3" t="inlineStr">
        <is>
          <t>Phase 3 — Policy</t>
        </is>
      </c>
      <c r="E73" s="2" t="inlineStr">
        <is>
          <t>M</t>
        </is>
      </c>
      <c r="F73" s="2" t="inlineStr">
        <is>
          <t>Done</t>
        </is>
      </c>
      <c r="G73" s="3" t="inlineStr">
        <is>
          <t>Glossary Term on the Core version chain. test_monitoring.TestGlossary</t>
        </is>
      </c>
      <c r="H73" s="3" t="inlineStr">
        <is>
          <t>Done 5</t>
        </is>
      </c>
      <c r="I73" s="3" t="inlineStr">
        <is>
          <t>P-11, P-22, P-23, P-24</t>
        </is>
      </c>
      <c r="J73" s="2" t="inlineStr">
        <is>
          <t>epic trace</t>
        </is>
      </c>
      <c r="K73" s="3" t="inlineStr">
        <is>
          <t>As a policy office user, I maintain a glossary of terms.</t>
        </is>
      </c>
      <c r="L73" s="3" t="inlineStr">
        <is>
          <t>centrally maintained; versioned; changes audited.</t>
        </is>
      </c>
    </row>
    <row r="74" ht="69" customHeight="1">
      <c r="A74" s="2" t="inlineStr">
        <is>
          <t>E15-S4</t>
        </is>
      </c>
      <c r="B74" s="2" t="inlineStr">
        <is>
          <t>E15</t>
        </is>
      </c>
      <c r="C74" s="3" t="inlineStr">
        <is>
          <t>Monitoring, violations and glossary</t>
        </is>
      </c>
      <c r="D74" s="3" t="inlineStr">
        <is>
          <t>Phase 3 — Policy</t>
        </is>
      </c>
      <c r="E74" s="2" t="inlineStr">
        <is>
          <t>M</t>
        </is>
      </c>
      <c r="F74" s="2" t="inlineStr">
        <is>
          <t>Done</t>
        </is>
      </c>
      <c r="G74" s="3" t="inlineStr">
        <is>
          <t>A definitions panel (glossary.in_context, with use counts and findings) on /policy and beside the body on /document-view. It is a panel, not inline highlighting. policy.test_wave3.TestGlossaryOnThePage, policy.test_naming_glossary.TestGlossaryEnforcement.test_in_context_counts_use_and_reports_findings</t>
        </is>
      </c>
      <c r="H74" s="3" t="inlineStr">
        <is>
          <t>Done 5</t>
        </is>
      </c>
      <c r="I74" s="3" t="inlineStr">
        <is>
          <t>P-11, P-22, P-23, P-24</t>
        </is>
      </c>
      <c r="J74" s="2" t="inlineStr">
        <is>
          <t>epic trace</t>
        </is>
      </c>
      <c r="K74" s="3" t="inlineStr">
        <is>
          <t>As a policy author, glossary terms are surfaced in context.</t>
        </is>
      </c>
      <c r="L74" s="3" t="inlineStr">
        <is>
          <t>defined terms are recognisable in a document view and show their definition.</t>
        </is>
      </c>
    </row>
    <row r="75" ht="69" customHeight="1">
      <c r="A75" s="2" t="inlineStr">
        <is>
          <t>E15-S5</t>
        </is>
      </c>
      <c r="B75" s="2" t="inlineStr">
        <is>
          <t>E15</t>
        </is>
      </c>
      <c r="C75" s="3" t="inlineStr">
        <is>
          <t>Monitoring, violations and glossary</t>
        </is>
      </c>
      <c r="D75" s="3" t="inlineStr">
        <is>
          <t>Phase 3 — Policy</t>
        </is>
      </c>
      <c r="E75" s="2" t="inlineStr">
        <is>
          <t>M</t>
        </is>
      </c>
      <c r="F75" s="2" t="inlineStr">
        <is>
          <t>Done</t>
        </is>
      </c>
      <c r="G75" s="3" t="inlineStr">
        <is>
          <t>/reports lists incomplete records with a "Correct in place" link, and /policy corrects a field with a reason (metadata.correct_metadata, which resolves open remediation tasks). policy.test_wave3.TestMetadataCorrection, test_monitoring.TestMetadataMaintenance</t>
        </is>
      </c>
      <c r="H75" s="3" t="inlineStr">
        <is>
          <t>Done 5</t>
        </is>
      </c>
      <c r="I75" s="3" t="inlineStr">
        <is>
          <t>P-11, P-22, P-23, P-24</t>
        </is>
      </c>
      <c r="J75" s="2" t="inlineStr">
        <is>
          <t>epic trace</t>
        </is>
      </c>
      <c r="K75" s="3" t="inlineStr">
        <is>
          <t>As a policy office user, I can find records with missing required metadata.</t>
        </is>
      </c>
      <c r="L75" s="3" t="inlineStr">
        <is>
          <t>a maintenance view lists incomplete records by field, and supports correcting them in place.</t>
        </is>
      </c>
    </row>
    <row r="76" ht="43" customHeight="1">
      <c r="A76" s="2" t="inlineStr">
        <is>
          <t>E16-S1</t>
        </is>
      </c>
      <c r="B76" s="2" t="inlineStr">
        <is>
          <t>E16</t>
        </is>
      </c>
      <c r="C76" s="3" t="inlineStr">
        <is>
          <t>Escalation intake and templates</t>
        </is>
      </c>
      <c r="D76" s="3" t="inlineStr">
        <is>
          <t>Phase 4 — Escalation</t>
        </is>
      </c>
      <c r="E76" s="2" t="inlineStr">
        <is>
          <t>L</t>
        </is>
      </c>
      <c r="F76" s="2" t="inlineStr">
        <is>
          <t>Done</t>
        </is>
      </c>
      <c r="G76" s="3" t="inlineStr">
        <is>
          <t>Escalation Template in three scopes (ESC-INCIDENT, AP-INCIDENT, RA-LIMIT on the demo), administrator-owned on desk. escalation.tests.test_templates.TestTemplates (all 8).</t>
        </is>
      </c>
      <c r="H76" s="3" t="inlineStr">
        <is>
          <t>Done 4</t>
        </is>
      </c>
      <c r="I76" s="3" t="inlineStr">
        <is>
          <t>E-1, E-2, E-3, E-4, E-5, E-6</t>
        </is>
      </c>
      <c r="J76" s="2" t="inlineStr">
        <is>
          <t>epic trace</t>
        </is>
      </c>
      <c r="K76" s="3" t="inlineStr">
        <is>
          <t>As an administrator, I configure templates per escalation type.</t>
        </is>
      </c>
      <c r="L76" s="3" t="inlineStr">
        <is>
          <t>the escalation, action plan and risk acceptance templates each have a configurable required-field set; standard fields are shared across templates.</t>
        </is>
      </c>
    </row>
    <row r="77" ht="69" customHeight="1">
      <c r="A77" s="2" t="inlineStr">
        <is>
          <t>E16-S2</t>
        </is>
      </c>
      <c r="B77" s="2" t="inlineStr">
        <is>
          <t>E16</t>
        </is>
      </c>
      <c r="C77" s="3" t="inlineStr">
        <is>
          <t>Escalation intake and templates</t>
        </is>
      </c>
      <c r="D77" s="3" t="inlineStr">
        <is>
          <t>Phase 4 — Escalation</t>
        </is>
      </c>
      <c r="E77" s="2" t="inlineStr">
        <is>
          <t>M</t>
        </is>
      </c>
      <c r="F77" s="2" t="inlineStr">
        <is>
          <t>Done</t>
        </is>
      </c>
      <c r="G77" s="3" t="inlineStr">
        <is>
          <t>/raise-escalation shows the type's required fields (template_requirements) and raise_escalation inserts through the controller; the matter is listed on /escalations at once. escalation.tests.test_templates.TestTemplates, escalation.tests.test_portal_actions.TestRaise (all 6).</t>
        </is>
      </c>
      <c r="H77" s="3" t="inlineStr">
        <is>
          <t>Done 4</t>
        </is>
      </c>
      <c r="I77" s="3" t="inlineStr">
        <is>
          <t>E-1, E-2, E-3, E-4, E-5, E-6</t>
        </is>
      </c>
      <c r="J77" s="2" t="inlineStr">
        <is>
          <t>epic trace</t>
        </is>
      </c>
      <c r="K77" s="3" t="inlineStr">
        <is>
          <t>As an escalation owner, I raise an escalation using the right template.</t>
        </is>
      </c>
      <c r="L77" s="3" t="inlineStr">
        <is>
          <t>selecting a type applies its template; required fields enforced; the matter is searchable immediately.</t>
        </is>
      </c>
    </row>
    <row r="78" ht="56" customHeight="1">
      <c r="A78" s="2" t="inlineStr">
        <is>
          <t>E16-S3</t>
        </is>
      </c>
      <c r="B78" s="2" t="inlineStr">
        <is>
          <t>E16</t>
        </is>
      </c>
      <c r="C78" s="3" t="inlineStr">
        <is>
          <t>Escalation intake and templates</t>
        </is>
      </c>
      <c r="D78" s="3" t="inlineStr">
        <is>
          <t>Phase 4 — Escalation</t>
        </is>
      </c>
      <c r="E78" s="2" t="inlineStr">
        <is>
          <t>M</t>
        </is>
      </c>
      <c r="F78" s="2" t="inlineStr">
        <is>
          <t>Done</t>
        </is>
      </c>
      <c r="G78" s="3" t="inlineStr">
        <is>
          <t>Action Plan, several per matter, added and updated from /escalation (add_action_plan, update_action_plan). escalation.tests.test_entities.TestActionPlan (all 2), escalation.tests.test_portal_actions.TestActionPlans (all 4).</t>
        </is>
      </c>
      <c r="H78" s="3" t="inlineStr">
        <is>
          <t>Done 4</t>
        </is>
      </c>
      <c r="I78" s="3" t="inlineStr">
        <is>
          <t>E-1, E-2, E-3, E-4, E-5, E-6</t>
        </is>
      </c>
      <c r="J78" s="2" t="inlineStr">
        <is>
          <t>epic trace</t>
        </is>
      </c>
      <c r="K78" s="3" t="inlineStr">
        <is>
          <t>As an escalation owner, I record an action plan against an escalation.</t>
        </is>
      </c>
      <c r="L78" s="3" t="inlineStr">
        <is>
          <t>start and end dates, accountable executive, owner and status; multiple action plans per escalation.</t>
        </is>
      </c>
    </row>
    <row r="79" ht="82" customHeight="1">
      <c r="A79" s="2" t="inlineStr">
        <is>
          <t>E16-S4</t>
        </is>
      </c>
      <c r="B79" s="2" t="inlineStr">
        <is>
          <t>E16</t>
        </is>
      </c>
      <c r="C79" s="3" t="inlineStr">
        <is>
          <t>Escalation intake and templates</t>
        </is>
      </c>
      <c r="D79" s="3" t="inlineStr">
        <is>
          <t>Phase 4 — Escalation</t>
        </is>
      </c>
      <c r="E79" s="2" t="inlineStr">
        <is>
          <t>M</t>
        </is>
      </c>
      <c r="F79" s="2" t="inlineStr">
        <is>
          <t>Done</t>
        </is>
      </c>
      <c r="G79" s="3" t="inlineStr">
        <is>
          <t>Proposed from /escalation (approvals.add_risk_acceptance); takes effect only after an independent approver's decision or a forum motion (request_risk_acceptance_approval, decide_risk_acceptance). escalation.tests.test_resolution.TestRiskAcceptanceApproval (all 5), escalation.tests.test_portal_actions.TestRiskAcceptanceApproval (all 9).</t>
        </is>
      </c>
      <c r="H79" s="3" t="inlineStr">
        <is>
          <t>Done 4</t>
        </is>
      </c>
      <c r="I79" s="3" t="inlineStr">
        <is>
          <t>E-1, E-2, E-3, E-4, E-5, E-6</t>
        </is>
      </c>
      <c r="J79" s="2" t="inlineStr">
        <is>
          <t>epic trace</t>
        </is>
      </c>
      <c r="K79" s="3" t="inlineStr">
        <is>
          <t>As an escalation owner, I record a risk acceptance against an escalation.</t>
        </is>
      </c>
      <c r="L79" s="3" t="inlineStr">
        <is>
          <t>rationale, accountable executive, period and status; a risk acceptance requires an explicit approval.</t>
        </is>
      </c>
    </row>
    <row r="80" ht="69" customHeight="1">
      <c r="A80" s="2" t="inlineStr">
        <is>
          <t>E17-S1</t>
        </is>
      </c>
      <c r="B80" s="2" t="inlineStr">
        <is>
          <t>E17</t>
        </is>
      </c>
      <c r="C80" s="3" t="inlineStr">
        <is>
          <t>Routing and resolution</t>
        </is>
      </c>
      <c r="D80" s="3" t="inlineStr">
        <is>
          <t>Phase 4 — Escalation</t>
        </is>
      </c>
      <c r="E80" s="2" t="inlineStr">
        <is>
          <t>M</t>
        </is>
      </c>
      <c r="F80" s="2" t="inlineStr">
        <is>
          <t>Done</t>
        </is>
      </c>
      <c r="G80" s="3" t="inlineStr">
        <is>
          <t>Escalation Forum Link; forums chosen on /raise-escalation and changed on /escalation (routing.set_pathway, active forums only); protocol and threshold shown. escalation.tests.test_routing.TestRouting.test_the_forums_protocol_and_threshold_are_shown, escalation.tests.test_portal_actions.TestPathway (all 4).</t>
        </is>
      </c>
      <c r="H80" s="3" t="inlineStr">
        <is>
          <t>Done 5</t>
        </is>
      </c>
      <c r="I80" s="3" t="inlineStr">
        <is>
          <t>E-7, E-8, E-9, E-10, E-11, E-12, E-13, E-14, E-15</t>
        </is>
      </c>
      <c r="J80" s="2" t="inlineStr">
        <is>
          <t>epic trace</t>
        </is>
      </c>
      <c r="K80" s="3" t="inlineStr">
        <is>
          <t>As an escalation owner, I select a governance forum as the escalation pathway.</t>
        </is>
      </c>
      <c r="L80" s="3" t="inlineStr">
        <is>
          <t>the forum list comes from the forum inventory; only active forums are selectable; the forum's escalation protocol and threshold are shown.</t>
        </is>
      </c>
    </row>
    <row r="81" ht="43" customHeight="1">
      <c r="A81" s="2" t="inlineStr">
        <is>
          <t>E17-S2</t>
        </is>
      </c>
      <c r="B81" s="2" t="inlineStr">
        <is>
          <t>E17</t>
        </is>
      </c>
      <c r="C81" s="3" t="inlineStr">
        <is>
          <t>Routing and resolution</t>
        </is>
      </c>
      <c r="D81" s="3" t="inlineStr">
        <is>
          <t>Phase 4 — Escalation</t>
        </is>
      </c>
      <c r="E81" s="2" t="inlineStr">
        <is>
          <t>L</t>
        </is>
      </c>
      <c r="F81" s="2" t="inlineStr">
        <is>
          <t>Done</t>
        </is>
      </c>
      <c r="G81" s="3" t="inlineStr">
        <is>
          <t>Escalation Matrix rules on desk propose severity, pathway, queue and service level on save and on the intake form (propose_pathway). escalation.tests.test_routing.TestRouting (all 12).</t>
        </is>
      </c>
      <c r="H81" s="3" t="inlineStr">
        <is>
          <t>Done 5</t>
        </is>
      </c>
      <c r="I81" s="3" t="inlineStr">
        <is>
          <t>E-7, E-8, E-9, E-10, E-11, E-12, E-13, E-14, E-15</t>
        </is>
      </c>
      <c r="J81" s="2" t="inlineStr">
        <is>
          <t>epic trace</t>
        </is>
      </c>
      <c r="K81" s="3" t="inlineStr">
        <is>
          <t>As an administrator, I configure escalation pathways so routing is consistent.</t>
        </is>
      </c>
      <c r="L81" s="3" t="inlineStr">
        <is>
          <t>pathways are data; a matter of a given type and severity proposes its destination automatically.</t>
        </is>
      </c>
    </row>
    <row r="82" ht="82" customHeight="1">
      <c r="A82" s="2" t="inlineStr">
        <is>
          <t>E17-S3</t>
        </is>
      </c>
      <c r="B82" s="2" t="inlineStr">
        <is>
          <t>E17</t>
        </is>
      </c>
      <c r="C82" s="3" t="inlineStr">
        <is>
          <t>Routing and resolution</t>
        </is>
      </c>
      <c r="D82" s="3" t="inlineStr">
        <is>
          <t>Phase 4 — Escalation</t>
        </is>
      </c>
      <c r="E82" s="2" t="inlineStr">
        <is>
          <t>M</t>
        </is>
      </c>
      <c r="F82" s="2" t="inlineStr">
        <is>
          <t>Done</t>
        </is>
      </c>
      <c r="G82" s="3" t="inlineStr">
        <is>
          <t>Six configured states mapped to semantic flags; moved and closed on /escalation (move_matter_status, record_matter_closure, close_matter) behind the Escalation Closure gate. escalation.tests.test_resolution.TestStatesAndClosure (all 7), escalation.tests.test_portal_actions.TestStatus (all 4), TestClosure (all 5).</t>
        </is>
      </c>
      <c r="H82" s="3" t="inlineStr">
        <is>
          <t>Done 5</t>
        </is>
      </c>
      <c r="I82" s="3" t="inlineStr">
        <is>
          <t>E-14</t>
        </is>
      </c>
      <c r="J82" s="2" t="inlineStr">
        <is>
          <t>story</t>
        </is>
      </c>
      <c r="K82" s="3" t="inlineStr">
        <is>
          <t>As an escalation owner, I move a matter through its states to closure.</t>
        </is>
      </c>
      <c r="L82" s="3" t="inlineStr">
        <is>
          <t>[struck through: open, in progress, pending review and closed; closure requires a recorded outcome.] the configured set of states (Open, In Progress, Under Review, Pending Review, Closed, Closed — Tracked Externally), driven by semantic flags, not a fixed four; closure requires a recorded outcome. Revised 2026-09-18: the states are configuration, and E-14 needs more than four.</t>
        </is>
      </c>
    </row>
    <row r="83" ht="82" customHeight="1">
      <c r="A83" s="2" t="inlineStr">
        <is>
          <t>E17-S4</t>
        </is>
      </c>
      <c r="B83" s="2" t="inlineStr">
        <is>
          <t>E17</t>
        </is>
      </c>
      <c r="C83" s="3" t="inlineStr">
        <is>
          <t>Routing and resolution</t>
        </is>
      </c>
      <c r="D83" s="3" t="inlineStr">
        <is>
          <t>Phase 4 — Escalation</t>
        </is>
      </c>
      <c r="E83" s="2" t="inlineStr">
        <is>
          <t>M</t>
        </is>
      </c>
      <c r="F83" s="2" t="inlineStr">
        <is>
          <t>Done</t>
        </is>
      </c>
      <c r="G83" s="3" t="inlineStr">
        <is>
          <t>Daily sla.sweep and resolution.sweep_breaches; only the resolution threshold raises the matter; the notice reaches pathway forum participants. escalation.tests.test_resolution.TestServiceLevels (all 5), escalation.tests.test_regressions.TestBreachIsNotRepeated (all 2), escalation.tests.test_wave3_escalation.TestOnlyTheResolutionThresholdRaisesAMatter (all 2).</t>
        </is>
      </c>
      <c r="H83" s="3" t="inlineStr">
        <is>
          <t>Done 5</t>
        </is>
      </c>
      <c r="I83" s="3" t="inlineStr">
        <is>
          <t>E-7, E-8, E-9, E-10, E-11, E-12, E-13, E-14, E-15</t>
        </is>
      </c>
      <c r="J83" s="2" t="inlineStr">
        <is>
          <t>epic trace</t>
        </is>
      </c>
      <c r="K83" s="3" t="inlineStr">
        <is>
          <t>As a manager, matters that breach their time thresholds are escalated automatically.</t>
        </is>
      </c>
      <c r="L83" s="3" t="inlineStr">
        <is>
          <t>thresholds are configuration per type and severity; breach raises the matter and notifies; the breach is recorded.</t>
        </is>
      </c>
    </row>
    <row r="84" ht="30" customHeight="1">
      <c r="A84" s="2" t="inlineStr">
        <is>
          <t>E17-S5</t>
        </is>
      </c>
      <c r="B84" s="2" t="inlineStr">
        <is>
          <t>E17</t>
        </is>
      </c>
      <c r="C84" s="3" t="inlineStr">
        <is>
          <t>Routing and resolution</t>
        </is>
      </c>
      <c r="D84" s="3" t="inlineStr">
        <is>
          <t>Phase 4 — Escalation</t>
        </is>
      </c>
      <c r="E84" s="2" t="inlineStr">
        <is>
          <t>M</t>
        </is>
      </c>
      <c r="F84" s="2" t="inlineStr">
        <is>
          <t>Done</t>
        </is>
      </c>
      <c r="G84" s="3" t="inlineStr">
        <is>
          <t>analysis.summary and CSV analysis.export on /reports. escalation.tests.test_analysis.TestAnalysis (all 5).</t>
        </is>
      </c>
      <c r="H84" s="3" t="inlineStr">
        <is>
          <t>Done 5</t>
        </is>
      </c>
      <c r="I84" s="3" t="inlineStr">
        <is>
          <t>E-7, E-8, E-9, E-10, E-11, E-12, E-13, E-14, E-15</t>
        </is>
      </c>
      <c r="J84" s="2" t="inlineStr">
        <is>
          <t>epic trace</t>
        </is>
      </c>
      <c r="K84" s="3" t="inlineStr">
        <is>
          <t>As a risk manager, I can analyse escalation patterns.</t>
        </is>
      </c>
      <c r="L84" s="3" t="inlineStr">
        <is>
          <t>volumes, durations, destinations and outcomes over time, filterable and exportable.</t>
        </is>
      </c>
    </row>
    <row r="85" ht="82" customHeight="1">
      <c r="A85" s="2" t="inlineStr">
        <is>
          <t>E18-S1</t>
        </is>
      </c>
      <c r="B85" s="2" t="inlineStr">
        <is>
          <t>E18</t>
        </is>
      </c>
      <c r="C85" s="3" t="inlineStr">
        <is>
          <t>Attestation</t>
        </is>
      </c>
      <c r="D85" s="3" t="inlineStr">
        <is>
          <t>Phase 5 — Cross-cutting engines</t>
        </is>
      </c>
      <c r="E85" s="2" t="inlineStr">
        <is>
          <t>L</t>
        </is>
      </c>
      <c r="F85" s="2" t="inlineStr">
        <is>
          <t>Done</t>
        </is>
      </c>
      <c r="G85" s="3" t="inlineStr">
        <is>
          <t>Attestation Campaign (scope, population query, period, opening and closing dates) on desk; forum campaigns opened from /attestation-campaigns, policy campaigns from /policy; three types, one engine. consilium_core.tests.test_attestation.TestAttestation (all 13), policy.tests.test_wave3.TestAttestationCampaign (all 2)</t>
        </is>
      </c>
      <c r="H85" s="3" t="inlineStr">
        <is>
          <t>Done 3, Partial 2</t>
        </is>
      </c>
      <c r="I85" s="3" t="inlineStr">
        <is>
          <t>G-10, P-8</t>
        </is>
      </c>
      <c r="J85" s="2" t="inlineStr">
        <is>
          <t>epic trace</t>
        </is>
      </c>
      <c r="K85" s="3" t="inlineStr">
        <is>
          <t>As an administrator, I define an attestation campaign.</t>
        </is>
      </c>
      <c r="L85" s="3" t="inlineStr">
        <is>
          <t>scope, population, period, opening and closing dates; three campaign types supported by one engine.</t>
        </is>
      </c>
    </row>
    <row r="86" ht="69" customHeight="1">
      <c r="A86" s="2" t="inlineStr">
        <is>
          <t>E18-S2</t>
        </is>
      </c>
      <c r="B86" s="2" t="inlineStr">
        <is>
          <t>E18</t>
        </is>
      </c>
      <c r="C86" s="3" t="inlineStr">
        <is>
          <t>Attestation</t>
        </is>
      </c>
      <c r="D86" s="3" t="inlineStr">
        <is>
          <t>Phase 5 — Cross-cutting engines</t>
        </is>
      </c>
      <c r="E86" s="2" t="inlineStr">
        <is>
          <t>M</t>
        </is>
      </c>
      <c r="F86" s="2" t="inlineStr">
        <is>
          <t>Done</t>
        </is>
      </c>
      <c r="G86" s="3" t="inlineStr">
        <is>
          <t>/attestation-campaigns calls attestation.generate_campaign_tasks (POST); population from live membership or ownership; regeneration adds, never duplicates. TestAttestation (all 13), TestUnconfiguredRecordsDoNotStopACampaign (all 3), consilium_core.tests.test_inbox.TestCampaignAdministration (all 5)</t>
        </is>
      </c>
      <c r="H86" s="3" t="inlineStr">
        <is>
          <t>Done 3, Partial 2</t>
        </is>
      </c>
      <c r="I86" s="3" t="inlineStr">
        <is>
          <t>G-10, P-8</t>
        </is>
      </c>
      <c r="J86" s="2" t="inlineStr">
        <is>
          <t>epic trace</t>
        </is>
      </c>
      <c r="K86" s="3" t="inlineStr">
        <is>
          <t>As a campaign owner, tasks are generated for the right people.</t>
        </is>
      </c>
      <c r="L86" s="3" t="inlineStr">
        <is>
          <t>the population is derived from live data — forum membership or policy ownership — not a pasted list; regenerating is safe and does not duplicate open tasks.</t>
        </is>
      </c>
    </row>
    <row r="87" ht="69" customHeight="1">
      <c r="A87" s="2" t="inlineStr">
        <is>
          <t>E18-S3</t>
        </is>
      </c>
      <c r="B87" s="2" t="inlineStr">
        <is>
          <t>E18</t>
        </is>
      </c>
      <c r="C87" s="3" t="inlineStr">
        <is>
          <t>Attestation</t>
        </is>
      </c>
      <c r="D87" s="3" t="inlineStr">
        <is>
          <t>Phase 5 — Cross-cutting engines</t>
        </is>
      </c>
      <c r="E87" s="2" t="inlineStr">
        <is>
          <t>M</t>
        </is>
      </c>
      <c r="F87" s="2" t="inlineStr">
        <is>
          <t>Done</t>
        </is>
      </c>
      <c r="G87" s="3" t="inlineStr">
        <is>
          <t>/tasks calls attestation.respond_to_task: a statement is required on an exception; an answered or lapsed task cannot be answered again; attesters have no desk write. consilium_core.tests.test_inbox.TestInboxAttestation (all 8), TestSecondSignature (all 3)</t>
        </is>
      </c>
      <c r="H87" s="3" t="inlineStr">
        <is>
          <t>Done 3, Partial 2</t>
        </is>
      </c>
      <c r="I87" s="3" t="inlineStr">
        <is>
          <t>G-10, P-8</t>
        </is>
      </c>
      <c r="J87" s="2" t="inlineStr">
        <is>
          <t>epic trace</t>
        </is>
      </c>
      <c r="K87" s="3" t="inlineStr">
        <is>
          <t>As an attester, I complete my task with a recorded confirmation.</t>
        </is>
      </c>
      <c r="L87" s="3" t="inlineStr">
        <is>
          <t>confirm or raise an exception; a comment is required on exception; the response is immutable once submitted.</t>
        </is>
      </c>
    </row>
    <row r="88" ht="95" customHeight="1">
      <c r="A88" s="2" t="inlineStr">
        <is>
          <t>E18-S4</t>
        </is>
      </c>
      <c r="B88" s="2" t="inlineStr">
        <is>
          <t>E18</t>
        </is>
      </c>
      <c r="C88" s="3" t="inlineStr">
        <is>
          <t>Attestation</t>
        </is>
      </c>
      <c r="D88" s="3" t="inlineStr">
        <is>
          <t>Phase 5 — Cross-cutting engines</t>
        </is>
      </c>
      <c r="E88" s="2" t="inlineStr">
        <is>
          <t>M</t>
        </is>
      </c>
      <c r="F88" s="2" t="inlineStr">
        <is>
          <t>Partial</t>
        </is>
      </c>
      <c r="G88" s="3" t="inlineStr">
        <is>
          <t>campaign_overview on /attestation-campaigns shows each campaign's open, overdue, answered, lapsed and awaiting-signature counts; campaign reminders follow the campaign's Attestation Reminder schedule (consilium_core.tests.test_w3_guides_core.TestCampaignReminderSchedule (all 4)). Completion is per campaign, not by population segment, and campaign reminders repeat to the same person rather than escalating</t>
        </is>
      </c>
      <c r="H88" s="3" t="inlineStr">
        <is>
          <t>Done 3, Partial 2</t>
        </is>
      </c>
      <c r="I88" s="3" t="inlineStr">
        <is>
          <t>G-10, P-8</t>
        </is>
      </c>
      <c r="J88" s="2" t="inlineStr">
        <is>
          <t>epic trace</t>
        </is>
      </c>
      <c r="K88" s="3" t="inlineStr">
        <is>
          <t>As a campaign owner, I can see completion and chase what is outstanding.</t>
        </is>
      </c>
      <c r="L88" s="3" t="inlineStr">
        <is>
          <t>live completion by population segment; reminders escalate as the close date approaches.</t>
        </is>
      </c>
    </row>
    <row r="89" ht="30" customHeight="1">
      <c r="A89" s="2" t="inlineStr">
        <is>
          <t>E18-S5</t>
        </is>
      </c>
      <c r="B89" s="2" t="inlineStr">
        <is>
          <t>E18</t>
        </is>
      </c>
      <c r="C89" s="3" t="inlineStr">
        <is>
          <t>Attestation</t>
        </is>
      </c>
      <c r="D89" s="3" t="inlineStr">
        <is>
          <t>Phase 5 — Cross-cutting engines</t>
        </is>
      </c>
      <c r="E89" s="2" t="inlineStr">
        <is>
          <t>M</t>
        </is>
      </c>
      <c r="F89" s="2" t="inlineStr">
        <is>
          <t>Partial</t>
        </is>
      </c>
      <c r="G89" s="3" t="inlineStr">
        <is>
          <t>Only the generic desk export of Attestation Task. No campaign export (who was asked, who answered, what, who did not), no test</t>
        </is>
      </c>
      <c r="H89" s="3" t="inlineStr">
        <is>
          <t>Done 3, Partial 2</t>
        </is>
      </c>
      <c r="I89" s="3" t="inlineStr">
        <is>
          <t>G-10, P-8</t>
        </is>
      </c>
      <c r="J89" s="2" t="inlineStr">
        <is>
          <t>epic trace</t>
        </is>
      </c>
      <c r="K89" s="3" t="inlineStr">
        <is>
          <t>As an auditor, a closed campaign is evidence.</t>
        </is>
      </c>
      <c r="L89" s="3" t="inlineStr">
        <is>
          <t>a campaign export shows who was asked, who responded, what they said and who did not respond.</t>
        </is>
      </c>
    </row>
    <row r="90" ht="69" customHeight="1">
      <c r="A90" s="2" t="inlineStr">
        <is>
          <t>E19-S1</t>
        </is>
      </c>
      <c r="B90" s="2" t="inlineStr">
        <is>
          <t>E19</t>
        </is>
      </c>
      <c r="C90" s="3" t="inlineStr">
        <is>
          <t>Notifications</t>
        </is>
      </c>
      <c r="D90" s="3" t="inlineStr">
        <is>
          <t>Phase 5 — Cross-cutting engines</t>
        </is>
      </c>
      <c r="E90" s="2" t="inlineStr">
        <is>
          <t>M</t>
        </is>
      </c>
      <c r="F90" s="2" t="inlineStr">
        <is>
          <t>Partial</t>
        </is>
      </c>
      <c r="G90" s="3" t="inlineStr">
        <is>
          <t>Notification Template rows per event and channel (49 on the demo site), rendered by notification.notify. consilium_core.tests.test_notification_templates.TestEventApi (all 10), TestSeeding (all 2). Recipients are chosen by the calling code for each event; a template cannot name a role or a group</t>
        </is>
      </c>
      <c r="H90" s="3" t="inlineStr">
        <is>
          <t>Done 1, Partial 3</t>
        </is>
      </c>
      <c r="I90" s="3" t="inlineStr">
        <is>
          <t>G-14, P-14, E-17</t>
        </is>
      </c>
      <c r="J90" s="2" t="inlineStr">
        <is>
          <t>epic trace</t>
        </is>
      </c>
      <c r="K90" s="3" t="inlineStr">
        <is>
          <t>As an administrator, I configure notification templates per event.</t>
        </is>
      </c>
      <c r="L90" s="3" t="inlineStr">
        <is>
          <t>templates are data; recipients can be roles, groups or derived from the record.</t>
        </is>
      </c>
    </row>
    <row r="91" ht="69" customHeight="1">
      <c r="A91" s="2" t="inlineStr">
        <is>
          <t>E19-S2</t>
        </is>
      </c>
      <c r="B91" s="2" t="inlineStr">
        <is>
          <t>E19</t>
        </is>
      </c>
      <c r="C91" s="3" t="inlineStr">
        <is>
          <t>Notifications</t>
        </is>
      </c>
      <c r="D91" s="3" t="inlineStr">
        <is>
          <t>Phase 5 — Cross-cutting engines</t>
        </is>
      </c>
      <c r="E91" s="2" t="inlineStr">
        <is>
          <t>M</t>
        </is>
      </c>
      <c r="F91" s="2" t="inlineStr">
        <is>
          <t>Partial</t>
        </is>
      </c>
      <c r="G91" s="3" t="inlineStr">
        <is>
          <t>The in_app adapter writes the framework's Notification Log, which carries read state. No event is templated on the in-app channel (all 49 templates are EMAIL), the portal has no notification list, the WEEKLY_DIGEST channel is a record_only placeholder, and no test exercises in-app delivery</t>
        </is>
      </c>
      <c r="H91" s="3" t="inlineStr">
        <is>
          <t>Done 1, Partial 3</t>
        </is>
      </c>
      <c r="I91" s="3" t="inlineStr">
        <is>
          <t>G-14, P-14, E-17</t>
        </is>
      </c>
      <c r="J91" s="2" t="inlineStr">
        <is>
          <t>epic trace</t>
        </is>
      </c>
      <c r="K91" s="3" t="inlineStr">
        <is>
          <t>As a user, I receive notifications in the application.</t>
        </is>
      </c>
      <c r="L91" s="3" t="inlineStr">
        <is>
          <t>in-app delivery with read state; a digest option.</t>
        </is>
      </c>
    </row>
    <row r="92" ht="82" customHeight="1">
      <c r="A92" s="2" t="inlineStr">
        <is>
          <t>E19-S3</t>
        </is>
      </c>
      <c r="B92" s="2" t="inlineStr">
        <is>
          <t>E19</t>
        </is>
      </c>
      <c r="C92" s="3" t="inlineStr">
        <is>
          <t>Notifications</t>
        </is>
      </c>
      <c r="D92" s="3" t="inlineStr">
        <is>
          <t>Phase 5 — Cross-cutting engines</t>
        </is>
      </c>
      <c r="E92" s="2" t="inlineStr">
        <is>
          <t>M</t>
        </is>
      </c>
      <c r="F92" s="2" t="inlineStr">
        <is>
          <t>Partial</t>
        </is>
      </c>
      <c r="G92" s="3" t="inlineStr">
        <is>
          <t>Adapter registry (notification.register_adapter, documented in the module docstring) with record_only, in_app and email; channels are Notification Channel rows with fallbacks. consilium_core.tests.test_notification.TestNotification (all 6). No third channel is stubbed (the chat channel is "not built" in docs/product/04-architecture.md)</t>
        </is>
      </c>
      <c r="H92" s="3" t="inlineStr">
        <is>
          <t>Done 1, Partial 3</t>
        </is>
      </c>
      <c r="I92" s="3" t="inlineStr">
        <is>
          <t>G-14, P-14, E-17</t>
        </is>
      </c>
      <c r="J92" s="2" t="inlineStr">
        <is>
          <t>epic trace</t>
        </is>
      </c>
      <c r="K92" s="3" t="inlineStr">
        <is>
          <t>As an engineer, delivery channels are pluggable.</t>
        </is>
      </c>
      <c r="L92" s="3" t="inlineStr">
        <is>
          <t>channel is an interface with in-app and email implemented, and a third channel stubbed against a documented API so it can be added without touching callers.</t>
        </is>
      </c>
    </row>
    <row r="93" ht="43" customHeight="1">
      <c r="A93" s="2" t="inlineStr">
        <is>
          <t>E19-S4</t>
        </is>
      </c>
      <c r="B93" s="2" t="inlineStr">
        <is>
          <t>E19</t>
        </is>
      </c>
      <c r="C93" s="3" t="inlineStr">
        <is>
          <t>Notifications</t>
        </is>
      </c>
      <c r="D93" s="3" t="inlineStr">
        <is>
          <t>Phase 5 — Cross-cutting engines</t>
        </is>
      </c>
      <c r="E93" s="2" t="inlineStr">
        <is>
          <t>S</t>
        </is>
      </c>
      <c r="F93" s="2" t="inlineStr">
        <is>
          <t>Done</t>
        </is>
      </c>
      <c r="G93" s="3" t="inlineStr">
        <is>
          <t>A Notification Dispatch row for every send, including failures, suppressions and fallbacks. consilium_core.tests.test_notification.TestNotification (all 6)</t>
        </is>
      </c>
      <c r="H93" s="3" t="inlineStr">
        <is>
          <t>Done 1, Partial 3</t>
        </is>
      </c>
      <c r="I93" s="3" t="inlineStr">
        <is>
          <t>G-14, P-14, E-17</t>
        </is>
      </c>
      <c r="J93" s="2" t="inlineStr">
        <is>
          <t>epic trace</t>
        </is>
      </c>
      <c r="K93" s="3" t="inlineStr">
        <is>
          <t>As an auditor, notification delivery is recorded.</t>
        </is>
      </c>
      <c r="L93" s="3" t="inlineStr">
        <is>
          <t>what was sent, to whom, when, on which channel, and whether it succeeded.</t>
        </is>
      </c>
    </row>
    <row r="94" ht="30" customHeight="1">
      <c r="A94" s="2" t="inlineStr">
        <is>
          <t>E20-S1</t>
        </is>
      </c>
      <c r="B94" s="2" t="inlineStr">
        <is>
          <t>E20</t>
        </is>
      </c>
      <c r="C94" s="3" t="inlineStr">
        <is>
          <t>Reporting and dashboards</t>
        </is>
      </c>
      <c r="D94" s="3" t="inlineStr">
        <is>
          <t>Phase 5 — Cross-cutting engines</t>
        </is>
      </c>
      <c r="E94" s="2" t="inlineStr">
        <is>
          <t>M</t>
        </is>
      </c>
      <c r="F94" s="2" t="inlineStr">
        <is>
          <t>Partial</t>
        </is>
      </c>
      <c r="G94" s="3" t="inlineStr">
        <is>
          <t>The framework's report builder and export on desk. No test in this application.</t>
        </is>
      </c>
      <c r="H94" s="3" t="inlineStr">
        <is>
          <t>Done 2, Partial 3</t>
        </is>
      </c>
      <c r="I94" s="3" t="inlineStr">
        <is>
          <t>G-12, P-12, E-15</t>
        </is>
      </c>
      <c r="J94" s="2" t="inlineStr">
        <is>
          <t>epic trace</t>
        </is>
      </c>
      <c r="K94" s="3" t="inlineStr">
        <is>
          <t>As a user, I build a report over any entity.</t>
        </is>
      </c>
      <c r="L94" s="3" t="inlineStr">
        <is>
          <t>choose columns, filter, group, sort; save and share; export to CSV and Excel.</t>
        </is>
      </c>
    </row>
    <row r="95" ht="69" customHeight="1">
      <c r="A95" s="2" t="inlineStr">
        <is>
          <t>E20-S2</t>
        </is>
      </c>
      <c r="B95" s="2" t="inlineStr">
        <is>
          <t>E20</t>
        </is>
      </c>
      <c r="C95" s="3" t="inlineStr">
        <is>
          <t>Reporting and dashboards</t>
        </is>
      </c>
      <c r="D95" s="3" t="inlineStr">
        <is>
          <t>Phase 5 — Cross-cutting engines</t>
        </is>
      </c>
      <c r="E95" s="2" t="inlineStr">
        <is>
          <t>M</t>
        </is>
      </c>
      <c r="F95" s="2" t="inlineStr">
        <is>
          <t>Partial</t>
        </is>
      </c>
      <c r="G95" s="3" t="inlineStr">
        <is>
          <t>/reports forum section (awaiting review, overdue, regulatory-required, disbanded, by compliance status, by type) and home counts, each linking to the filtered inventory. No test of any figure; they are counted in the browser, and consilium_core.tests.test_portal_pages checks only that the page renders.</t>
        </is>
      </c>
      <c r="H95" s="3" t="inlineStr">
        <is>
          <t>Done 2, Partial 3</t>
        </is>
      </c>
      <c r="I95" s="3" t="inlineStr">
        <is>
          <t>G-12, P-12, E-15</t>
        </is>
      </c>
      <c r="J95" s="2" t="inlineStr">
        <is>
          <t>epic trace</t>
        </is>
      </c>
      <c r="K95" s="3" t="inlineStr">
        <is>
          <t>As a governance user, I see a dashboard of forum activity and compliance standing.</t>
        </is>
      </c>
      <c r="L95" s="3" t="inlineStr">
        <is>
          <t>counts by category, status distribution, overdue reviews, recent changes.</t>
        </is>
      </c>
    </row>
    <row r="96" ht="69" customHeight="1">
      <c r="A96" s="2" t="inlineStr">
        <is>
          <t>E20-S3</t>
        </is>
      </c>
      <c r="B96" s="2" t="inlineStr">
        <is>
          <t>E20</t>
        </is>
      </c>
      <c r="C96" s="3" t="inlineStr">
        <is>
          <t>Reporting and dashboards</t>
        </is>
      </c>
      <c r="D96" s="3" t="inlineStr">
        <is>
          <t>Phase 5 — Cross-cutting engines</t>
        </is>
      </c>
      <c r="E96" s="2" t="inlineStr">
        <is>
          <t>L</t>
        </is>
      </c>
      <c r="F96" s="2" t="inlineStr">
        <is>
          <t>Done</t>
        </is>
      </c>
      <c r="G96" s="3" t="inlineStr">
        <is>
          <t>Coverage matrix (risk category by owning group, empty cells highlighted, each cell opens the filtered inventory) on /reports#coverage. The same rule lists gaps on /governance-gaps (ai.gaps.coverage_gaps). consilium_core.tests.test_ai_features.TestGaps.test_forum_policy_regulatory_and_coverage_gaps_are_found.</t>
        </is>
      </c>
      <c r="H96" s="3" t="inlineStr">
        <is>
          <t>Done 2, Partial 3</t>
        </is>
      </c>
      <c r="I96" s="3" t="inlineStr">
        <is>
          <t>G-12, P-12, E-15</t>
        </is>
      </c>
      <c r="J96" s="2" t="inlineStr">
        <is>
          <t>epic trace</t>
        </is>
      </c>
      <c r="K96" s="3" t="inlineStr">
        <is>
          <t>As a governance user, I see where governance coverage has gaps.</t>
        </is>
      </c>
      <c r="L96" s="3" t="inlineStr">
        <is>
          <t>coverage by risk category and organisation unit, highlighting combinations with no forum.</t>
        </is>
      </c>
    </row>
    <row r="97" ht="69" customHeight="1">
      <c r="A97" s="2" t="inlineStr">
        <is>
          <t>E20-S4</t>
        </is>
      </c>
      <c r="B97" s="2" t="inlineStr">
        <is>
          <t>E20</t>
        </is>
      </c>
      <c r="C97" s="3" t="inlineStr">
        <is>
          <t>Reporting and dashboards</t>
        </is>
      </c>
      <c r="D97" s="3" t="inlineStr">
        <is>
          <t>Phase 5 — Cross-cutting engines</t>
        </is>
      </c>
      <c r="E97" s="2" t="inlineStr">
        <is>
          <t>L</t>
        </is>
      </c>
      <c r="F97" s="2" t="inlineStr">
        <is>
          <t>Done</t>
        </is>
      </c>
      <c r="G97" s="3" t="inlineStr">
        <is>
          <t>inventory.interconnectivity SVG on /forum and the enterprise map (inventory.forum_map) on /; nodes link to their forum. governance.tests.test_inventory.TestRelationships, test_governance_gaps.TestInventoryReads.test_the_map_draws_what_the_viewer_may_see.</t>
        </is>
      </c>
      <c r="H97" s="3" t="inlineStr">
        <is>
          <t>Done 2, Partial 3</t>
        </is>
      </c>
      <c r="I97" s="3" t="inlineStr">
        <is>
          <t>G-12, P-12, E-15</t>
        </is>
      </c>
      <c r="J97" s="2" t="inlineStr">
        <is>
          <t>epic trace</t>
        </is>
      </c>
      <c r="K97" s="3" t="inlineStr">
        <is>
          <t>As a user, I see how forums connect to one another.</t>
        </is>
      </c>
      <c r="L97" s="3" t="inlineStr">
        <is>
          <t>a navigable diagram of parent, sub-forum, upstream and downstream relationships.</t>
        </is>
      </c>
    </row>
    <row r="98" ht="95" customHeight="1">
      <c r="A98" s="2" t="inlineStr">
        <is>
          <t>E20-S5</t>
        </is>
      </c>
      <c r="B98" s="2" t="inlineStr">
        <is>
          <t>E20</t>
        </is>
      </c>
      <c r="C98" s="3" t="inlineStr">
        <is>
          <t>Reporting and dashboards</t>
        </is>
      </c>
      <c r="D98" s="3" t="inlineStr">
        <is>
          <t>Phase 5 — Cross-cutting engines</t>
        </is>
      </c>
      <c r="E98" s="2" t="inlineStr">
        <is>
          <t>M</t>
        </is>
      </c>
      <c r="F98" s="2" t="inlineStr">
        <is>
          <t>Partial</t>
        </is>
      </c>
      <c r="G98" s="3" t="inlineStr">
        <is>
          <t>Every figure comes through permission-checked reads. Two-viewer tests exist for the escalation analysis (escalation.tests.test_analysis.TestAnalysis.test_the_analysis_shows_only_what_the_viewer_may_see), policy sections (policy.tests.test_wave3.TestReporting.test_sections_count_only_what_the_viewer_may_read), the forum map and the risk scores. Forum figures on /reports are not tested for two viewers.</t>
        </is>
      </c>
      <c r="H98" s="3" t="inlineStr">
        <is>
          <t>Done 2, Partial 3</t>
        </is>
      </c>
      <c r="I98" s="3" t="inlineStr">
        <is>
          <t>G-12, P-12, E-15</t>
        </is>
      </c>
      <c r="J98" s="2" t="inlineStr">
        <is>
          <t>epic trace</t>
        </is>
      </c>
      <c r="K98" s="3" t="inlineStr">
        <is>
          <t>As a user, dashboards respect my permissions.</t>
        </is>
      </c>
      <c r="L98" s="3" t="inlineStr">
        <is>
          <t>figures reflect only records the viewer may see; a test asserts two roles see different totals from the same dashboard.</t>
        </is>
      </c>
    </row>
    <row r="99" ht="108" customHeight="1">
      <c r="A99" s="2" t="inlineStr">
        <is>
          <t>E21-S1</t>
        </is>
      </c>
      <c r="B99" s="2" t="inlineStr">
        <is>
          <t>E21</t>
        </is>
      </c>
      <c r="C99" s="3" t="inlineStr">
        <is>
          <t>Import and export</t>
        </is>
      </c>
      <c r="D99" s="3" t="inlineStr">
        <is>
          <t>Phase 5 — Cross-cutting engines</t>
        </is>
      </c>
      <c r="E99" s="2" t="inlineStr">
        <is>
          <t>L</t>
        </is>
      </c>
      <c r="F99" s="2" t="inlineStr">
        <is>
          <t>Done</t>
        </is>
      </c>
      <c r="G99" s="3" t="inlineStr">
        <is>
          <t>/imports: upload against an Import Profile, whose required columns the page lists; validated before commit, per-row errors, Reject Batch refuses a failed file whole. consilium_core.tests.test_import_pipeline.TestImportPipeline (all 9), consilium_core.tests.test_imports_portal.TestUpload (all 5), escalation.tests.test_import_export.TestImportPath (all 4). Profiles ship for Escalation Matter and Regulatory Requirement; others are defined on desk</t>
        </is>
      </c>
      <c r="H99" s="3" t="inlineStr">
        <is>
          <t>Done 3, Partial 1</t>
        </is>
      </c>
      <c r="I99" s="3" t="inlineStr">
        <is>
          <t>G-19, P-20, E-19</t>
        </is>
      </c>
      <c r="J99" s="2" t="inlineStr">
        <is>
          <t>epic trace</t>
        </is>
      </c>
      <c r="K99" s="3" t="inlineStr">
        <is>
          <t>As an administrator, I import records from a file.</t>
        </is>
      </c>
      <c r="L99" s="3" t="inlineStr">
        <is>
          <t>a documented template per entity; validation before commit; per-row error reporting; no partial application of a failed file.</t>
        </is>
      </c>
    </row>
    <row r="100" ht="82" customHeight="1">
      <c r="A100" s="2" t="inlineStr">
        <is>
          <t>E21-S2</t>
        </is>
      </c>
      <c r="B100" s="2" t="inlineStr">
        <is>
          <t>E21</t>
        </is>
      </c>
      <c r="C100" s="3" t="inlineStr">
        <is>
          <t>Import and export</t>
        </is>
      </c>
      <c r="D100" s="3" t="inlineStr">
        <is>
          <t>Phase 5 — Cross-cutting engines</t>
        </is>
      </c>
      <c r="E100" s="2" t="inlineStr">
        <is>
          <t>M</t>
        </is>
      </c>
      <c r="F100" s="2" t="inlineStr">
        <is>
          <t>Done</t>
        </is>
      </c>
      <c r="G100" s="3" t="inlineStr">
        <is>
          <t>Each Import Batch keeps file hash, actor and outcome; rows reviewed, excluded, revalidated and the batch discarded before commit on /imports; a re-import of the same key updates. consilium_core.tests.test_imports_portal.TestReview (all 7), TestDiscard (all 1), TestImportPipeline.test_a_second_import_of_the_same_key_updates_rather_than_duplicates</t>
        </is>
      </c>
      <c r="H100" s="3" t="inlineStr">
        <is>
          <t>Done 3, Partial 1</t>
        </is>
      </c>
      <c r="I100" s="3" t="inlineStr">
        <is>
          <t>G-19, P-20, E-19</t>
        </is>
      </c>
      <c r="J100" s="2" t="inlineStr">
        <is>
          <t>epic trace</t>
        </is>
      </c>
      <c r="K100" s="3" t="inlineStr">
        <is>
          <t>As an administrator, an import is auditable and reversible.</t>
        </is>
      </c>
      <c r="L100" s="3" t="inlineStr">
        <is>
          <t>[struck through: each import is a record with its file, actor and outcome; an import can be rolled back.] each import is a record with its file, actor and outcome; a batch is reviewed and can be discarded before commit; a committed import is corrected by a compensating import, never by deletion (audit and retention rules). Revised 2026-09-18: rollback would delete audited and possibly retained records.</t>
        </is>
      </c>
    </row>
    <row r="101" ht="56" customHeight="1">
      <c r="A101" s="2" t="inlineStr">
        <is>
          <t>E21-S3</t>
        </is>
      </c>
      <c r="B101" s="2" t="inlineStr">
        <is>
          <t>E21</t>
        </is>
      </c>
      <c r="C101" s="3" t="inlineStr">
        <is>
          <t>Import and export</t>
        </is>
      </c>
      <c r="D101" s="3" t="inlineStr">
        <is>
          <t>Phase 5 — Cross-cutting engines</t>
        </is>
      </c>
      <c r="E101" s="2" t="inlineStr">
        <is>
          <t>M</t>
        </is>
      </c>
      <c r="F101" s="2" t="inlineStr">
        <is>
          <t>Partial</t>
        </is>
      </c>
      <c r="G101" s="3" t="inlineStr">
        <is>
          <t>The framework's REST API enforces permissions and pages (escalation.tests.test_sensitivity.TestSensitiveMatters, policy.tests.test_handling.TestVisibility). The read endpoints are not documented (no /api/resource reference in docs/)</t>
        </is>
      </c>
      <c r="H101" s="3" t="inlineStr">
        <is>
          <t>Done 3, Partial 1</t>
        </is>
      </c>
      <c r="I101" s="3" t="inlineStr">
        <is>
          <t>G-19, P-20, E-19</t>
        </is>
      </c>
      <c r="J101" s="2" t="inlineStr">
        <is>
          <t>epic trace</t>
        </is>
      </c>
      <c r="K101" s="3" t="inlineStr">
        <is>
          <t>As an integrator, data can be extracted through the API.</t>
        </is>
      </c>
      <c r="L101" s="3" t="inlineStr">
        <is>
          <t>documented read endpoints for every published entity, with permission enforcement and pagination.</t>
        </is>
      </c>
    </row>
    <row r="102" ht="56" customHeight="1">
      <c r="A102" s="2" t="inlineStr">
        <is>
          <t>E21-S4</t>
        </is>
      </c>
      <c r="B102" s="2" t="inlineStr">
        <is>
          <t>E21</t>
        </is>
      </c>
      <c r="C102" s="3" t="inlineStr">
        <is>
          <t>Import and export</t>
        </is>
      </c>
      <c r="D102" s="3" t="inlineStr">
        <is>
          <t>Phase 5 — Cross-cutting engines</t>
        </is>
      </c>
      <c r="E102" s="2" t="inlineStr">
        <is>
          <t>M</t>
        </is>
      </c>
      <c r="F102" s="2" t="inlineStr">
        <is>
          <t>Done</t>
        </is>
      </c>
      <c r="G102" s="3" t="inlineStr">
        <is>
          <t>Staged Import Row, External System, External Reference; the file importer is the first source; a module preparer hook runs before commit. TestImportPipeline (all 9), TestReview.test_a_module_preparer_runs_before_the_commit</t>
        </is>
      </c>
      <c r="H102" s="3" t="inlineStr">
        <is>
          <t>Done 3, Partial 1</t>
        </is>
      </c>
      <c r="I102" s="3" t="inlineStr">
        <is>
          <t>G-19, P-20, E-19</t>
        </is>
      </c>
      <c r="J102" s="2" t="inlineStr">
        <is>
          <t>epic trace</t>
        </is>
      </c>
      <c r="K102" s="3" t="inlineStr">
        <is>
          <t>As an engineer, an integration can be added later without reshaping the data.</t>
        </is>
      </c>
      <c r="L102" s="3" t="inlineStr">
        <is>
          <t>an integration boundary exists with the file importer as its first implementation; adding an API-based source requires no change to the entities.</t>
        </is>
      </c>
    </row>
    <row r="103" ht="147" customHeight="1">
      <c r="A103" s="2" t="inlineStr">
        <is>
          <t>E22-S1</t>
        </is>
      </c>
      <c r="B103" s="2" t="inlineStr">
        <is>
          <t>E22</t>
        </is>
      </c>
      <c r="C103" s="3" t="inlineStr">
        <is>
          <t>AI assistance</t>
        </is>
      </c>
      <c r="D103" s="3" t="inlineStr">
        <is>
          <t>Phase 5 — Cross-cutting engines</t>
        </is>
      </c>
      <c r="E103" s="2" t="inlineStr">
        <is>
          <t>M</t>
        </is>
      </c>
      <c r="F103" s="2" t="inlineStr">
        <is>
          <t>Done</t>
        </is>
      </c>
      <c r="G103" s="3" t="inlineStr">
        <is>
          <t>consilium_core/ai/client.py is the one path for the help assistant and the analysis features; endpoint, model and a write-only key set in Admin → Integrations (Assistant Settings; request format "OpenAI-compatible API"), off by default, with Test connection; timeout, error, refusal or unreachable endpoint falls back to the built-in result. Exercised live on the demo site against an OpenAI-compatible provider: 20 logged requests, all succeeded. consilium_core.tests.test_ai_features.TestClient (all 3), consilium_core.tests.test_assistant.TestAIMode (all 8), TestSettings (all 4), consilium_core.tests.test_integrations.TestIntegrationsPage (all 14).</t>
        </is>
      </c>
      <c r="H103" s="3" t="inlineStr">
        <is>
          <t>Done 3, Partial 1</t>
        </is>
      </c>
      <c r="I103" s="3" t="inlineStr">
        <is>
          <t>O-6, O-7</t>
        </is>
      </c>
      <c r="J103" s="2" t="inlineStr">
        <is>
          <t>epic trace</t>
        </is>
      </c>
      <c r="K103" s="3" t="inlineStr">
        <is>
          <t>As an engineer, the application can call the external AI service.</t>
        </is>
      </c>
      <c r="L103" s="3" t="inlineStr">
        <is>
          <t>one adapter; endpoint and credentials are configuration; failure degrades gracefully and never blocks the user's work.</t>
        </is>
      </c>
    </row>
    <row r="104" ht="82" customHeight="1">
      <c r="A104" s="2" t="inlineStr">
        <is>
          <t>E22-S2</t>
        </is>
      </c>
      <c r="B104" s="2" t="inlineStr">
        <is>
          <t>E22</t>
        </is>
      </c>
      <c r="C104" s="3" t="inlineStr">
        <is>
          <t>AI assistance</t>
        </is>
      </c>
      <c r="D104" s="3" t="inlineStr">
        <is>
          <t>Phase 5 — Cross-cutting engines</t>
        </is>
      </c>
      <c r="E104" s="2" t="inlineStr">
        <is>
          <t>M</t>
        </is>
      </c>
      <c r="F104" s="2" t="inlineStr">
        <is>
          <t>Partial</t>
        </is>
      </c>
      <c r="G104" s="3" t="inlineStr">
        <is>
          <t>The help assistant describes the record on screen and the actions open on it (consilium_core.tests.test_assistant.TestRecordAwareness), and machine text elsewhere is labelled and never saved without acceptance. No summary of a document body or long record is offered, with or without AI; there is no summarise action or endpoint.</t>
        </is>
      </c>
      <c r="H104" s="3" t="inlineStr">
        <is>
          <t>Done 3, Partial 1</t>
        </is>
      </c>
      <c r="I104" s="3" t="inlineStr">
        <is>
          <t>O-6, O-7</t>
        </is>
      </c>
      <c r="J104" s="2" t="inlineStr">
        <is>
          <t>epic trace</t>
        </is>
      </c>
      <c r="K104" s="3" t="inlineStr">
        <is>
          <t>As a user, I can request a summary of a long record or document.</t>
        </is>
      </c>
      <c r="L104" s="3" t="inlineStr">
        <is>
          <t>a summary is offered, clearly labelled as machine-generated, and never saved without a person accepting it.</t>
        </is>
      </c>
    </row>
    <row r="105" ht="69" customHeight="1">
      <c r="A105" s="2" t="inlineStr">
        <is>
          <t>E22-S3</t>
        </is>
      </c>
      <c r="B105" s="2" t="inlineStr">
        <is>
          <t>E22</t>
        </is>
      </c>
      <c r="C105" s="3" t="inlineStr">
        <is>
          <t>AI assistance</t>
        </is>
      </c>
      <c r="D105" s="3" t="inlineStr">
        <is>
          <t>Phase 5 — Cross-cutting engines</t>
        </is>
      </c>
      <c r="E105" s="2" t="inlineStr">
        <is>
          <t>M</t>
        </is>
      </c>
      <c r="F105" s="2" t="inlineStr">
        <is>
          <t>Done</t>
        </is>
      </c>
      <c r="G105" s="3" t="inlineStr">
        <is>
          <t>ai.regulatory.decide writes an immutable AI Suggestion Acceptance (suggested and accepted value, edited flag, who, when, applied_to_version) for accepts and rejects on /regulatory-updates. consilium_core.tests.test_ai_features.TestRegulatory (all 8), consilium_core.tests.test_services.TestProvenance (all 4).</t>
        </is>
      </c>
      <c r="H105" s="3" t="inlineStr">
        <is>
          <t>Done 3, Partial 1</t>
        </is>
      </c>
      <c r="I105" s="3" t="inlineStr">
        <is>
          <t>O-6, O-7</t>
        </is>
      </c>
      <c r="J105" s="2" t="inlineStr">
        <is>
          <t>epic trace</t>
        </is>
      </c>
      <c r="K105" s="3" t="inlineStr">
        <is>
          <t>As an auditor, I can tell which content originated from a suggestion.</t>
        </is>
      </c>
      <c r="L105" s="3" t="inlineStr">
        <is>
          <t>accepted suggestions record the suggestion, who accepted it, when, and against which version.</t>
        </is>
      </c>
    </row>
    <row r="106" ht="95" customHeight="1">
      <c r="A106" s="2" t="inlineStr">
        <is>
          <t>E22-S4</t>
        </is>
      </c>
      <c r="B106" s="2" t="inlineStr">
        <is>
          <t>E22</t>
        </is>
      </c>
      <c r="C106" s="3" t="inlineStr">
        <is>
          <t>AI assistance</t>
        </is>
      </c>
      <c r="D106" s="3" t="inlineStr">
        <is>
          <t>Phase 5 — Cross-cutting engines</t>
        </is>
      </c>
      <c r="E106" s="2" t="inlineStr">
        <is>
          <t>M</t>
        </is>
      </c>
      <c r="F106" s="2" t="inlineStr">
        <is>
          <t>Done</t>
        </is>
      </c>
      <c r="G106" s="3" t="inlineStr">
        <is>
          <t>ai/guard.py: data-sharing mode (tokens only by default), classification ceiling, Restricted and sensitive never sent, subject above the ceiling refused and recorded; every call an AI Service Request, every question an Assistant Interaction. consilium_core.tests.test_ai_features.TestGuard (all 4), TestImpact (all 11), consilium_core.tests.test_assistant.TestAuditAndLimits (all 4).</t>
        </is>
      </c>
      <c r="H106" s="3" t="inlineStr">
        <is>
          <t>Done 3, Partial 1</t>
        </is>
      </c>
      <c r="I106" s="3" t="inlineStr">
        <is>
          <t>O-6, O-7</t>
        </is>
      </c>
      <c r="J106" s="2" t="inlineStr">
        <is>
          <t>epic trace</t>
        </is>
      </c>
      <c r="K106" s="3" t="inlineStr">
        <is>
          <t>As a compliance officer, I control what may be sent to the external service.</t>
        </is>
      </c>
      <c r="L106" s="3" t="inlineStr">
        <is>
          <t>a policy governs which fields and classifications may leave; restricted records are excluded; every outbound call is logged.</t>
        </is>
      </c>
    </row>
    <row r="107" ht="69" customHeight="1">
      <c r="A107" s="2" t="inlineStr">
        <is>
          <t>E23-S1</t>
        </is>
      </c>
      <c r="B107" s="2" t="inlineStr">
        <is>
          <t>E23</t>
        </is>
      </c>
      <c r="C107" s="3" t="inlineStr">
        <is>
          <t>Interface shell</t>
        </is>
      </c>
      <c r="D107" s="3" t="inlineStr">
        <is>
          <t>Phase 6 — Interface</t>
        </is>
      </c>
      <c r="E107" s="2" t="inlineStr">
        <is>
          <t>M</t>
        </is>
      </c>
      <c r="F107" s="2" t="inlineStr">
        <is>
          <t>Done</t>
        </is>
      </c>
      <c r="G107" s="3" t="inlineStr">
        <is>
          <t>templates/base_portal.html: Home, Forums, Policies, Escalations, Reports, Admin (each shown only to those who may read it), breadcrumbs, aria-current. consilium_core.tests.test_portal_pages.TestEveryRole (all 3); browser journeys home-loads, non-admin-no-admin-nav</t>
        </is>
      </c>
      <c r="H107" s="3" t="inlineStr">
        <is>
          <t>Done 1, Partial 4</t>
        </is>
      </c>
      <c r="I107" s="3" t="inlineStr"/>
      <c r="J107" s="2" t="inlineStr">
        <is>
          <t>none</t>
        </is>
      </c>
      <c r="K107" s="3" t="inlineStr">
        <is>
          <t>As a user, the application has a consistent shell with tabbed navigation.</t>
        </is>
      </c>
      <c r="L107" s="3" t="inlineStr">
        <is>
          <t>home, forums, policies, escalations, reports and administration; breadcrumbs; current location always clear.</t>
        </is>
      </c>
    </row>
    <row r="108" ht="56" customHeight="1">
      <c r="A108" s="2" t="inlineStr">
        <is>
          <t>E23-S2</t>
        </is>
      </c>
      <c r="B108" s="2" t="inlineStr">
        <is>
          <t>E23</t>
        </is>
      </c>
      <c r="C108" s="3" t="inlineStr">
        <is>
          <t>Interface shell</t>
        </is>
      </c>
      <c r="D108" s="3" t="inlineStr">
        <is>
          <t>Phase 6 — Interface</t>
        </is>
      </c>
      <c r="E108" s="2" t="inlineStr">
        <is>
          <t>S</t>
        </is>
      </c>
      <c r="F108" s="2" t="inlineStr">
        <is>
          <t>Partial</t>
        </is>
      </c>
      <c r="G108" s="3" t="inlineStr">
        <is>
          <t>Consilium.theme with a pre-paint bootstrap, stored per browser (cns:theme); dark tokens asserted in consilium_core.tests.test_branding.TestBrandStyle. No automated test switches the theme or checks it persists</t>
        </is>
      </c>
      <c r="H108" s="3" t="inlineStr">
        <is>
          <t>Done 1, Partial 4</t>
        </is>
      </c>
      <c r="I108" s="3" t="inlineStr"/>
      <c r="J108" s="2" t="inlineStr">
        <is>
          <t>none</t>
        </is>
      </c>
      <c r="K108" s="3" t="inlineStr">
        <is>
          <t>As a user, I switch between a light and a dark theme, and it is remembered.</t>
        </is>
      </c>
      <c r="L108" s="3" t="inlineStr">
        <is>
          <t>switchable from the interface; applied before first paint; persists across sessions.</t>
        </is>
      </c>
    </row>
    <row r="109" ht="30" customHeight="1">
      <c r="A109" s="2" t="inlineStr">
        <is>
          <t>E23-S3</t>
        </is>
      </c>
      <c r="B109" s="2" t="inlineStr">
        <is>
          <t>E23</t>
        </is>
      </c>
      <c r="C109" s="3" t="inlineStr">
        <is>
          <t>Interface shell</t>
        </is>
      </c>
      <c r="D109" s="3" t="inlineStr">
        <is>
          <t>Phase 6 — Interface</t>
        </is>
      </c>
      <c r="E109" s="2" t="inlineStr">
        <is>
          <t>S</t>
        </is>
      </c>
      <c r="F109" s="2" t="inlineStr">
        <is>
          <t>Partial</t>
        </is>
      </c>
      <c r="G109" s="3" t="inlineStr">
        <is>
          <t>Consilium.fontSize in the header of every page, stored per browser (cns:fontsize). No automated test</t>
        </is>
      </c>
      <c r="H109" s="3" t="inlineStr">
        <is>
          <t>Done 1, Partial 4</t>
        </is>
      </c>
      <c r="I109" s="3" t="inlineStr"/>
      <c r="J109" s="2" t="inlineStr">
        <is>
          <t>none</t>
        </is>
      </c>
      <c r="K109" s="3" t="inlineStr">
        <is>
          <t>As a user, I change the font size on any page and it is remembered.</t>
        </is>
      </c>
      <c r="L109" s="3" t="inlineStr">
        <is>
          <t>a visible control on every page; the whole page scales coherently; persists.</t>
        </is>
      </c>
    </row>
    <row r="110" ht="56" customHeight="1">
      <c r="A110" s="2" t="inlineStr">
        <is>
          <t>E23-S4</t>
        </is>
      </c>
      <c r="B110" s="2" t="inlineStr">
        <is>
          <t>E23</t>
        </is>
      </c>
      <c r="C110" s="3" t="inlineStr">
        <is>
          <t>Interface shell</t>
        </is>
      </c>
      <c r="D110" s="3" t="inlineStr">
        <is>
          <t>Phase 6 — Interface</t>
        </is>
      </c>
      <c r="E110" s="2" t="inlineStr">
        <is>
          <t>L</t>
        </is>
      </c>
      <c r="F110" s="2" t="inlineStr">
        <is>
          <t>Partial</t>
        </is>
      </c>
      <c r="G110" s="3" t="inlineStr">
        <is>
          <t>consilium-table.js pages, sorts and searches on the server and stores the page size; the escalation-filters browser journey checks filtering on it. No automated test of server-side paging, sorting or the remembered page size</t>
        </is>
      </c>
      <c r="H110" s="3" t="inlineStr">
        <is>
          <t>Done 1, Partial 4</t>
        </is>
      </c>
      <c r="I110" s="3" t="inlineStr"/>
      <c r="J110" s="2" t="inlineStr">
        <is>
          <t>none</t>
        </is>
      </c>
      <c r="K110" s="3" t="inlineStr">
        <is>
          <t>As a user, every table paginates, sorts, searches and lets me set the page size.</t>
        </is>
      </c>
      <c r="L110" s="3" t="inlineStr">
        <is>
          <t>one shared component; paging and sorting happen server-side so behaviour is correct on large datasets; page size persists.</t>
        </is>
      </c>
    </row>
    <row r="111" ht="43" customHeight="1">
      <c r="A111" s="2" t="inlineStr">
        <is>
          <t>E23-S5</t>
        </is>
      </c>
      <c r="B111" s="2" t="inlineStr">
        <is>
          <t>E23</t>
        </is>
      </c>
      <c r="C111" s="3" t="inlineStr">
        <is>
          <t>Interface shell</t>
        </is>
      </c>
      <c r="D111" s="3" t="inlineStr">
        <is>
          <t>Phase 6 — Interface</t>
        </is>
      </c>
      <c r="E111" s="2" t="inlineStr">
        <is>
          <t>M</t>
        </is>
      </c>
      <c r="F111" s="2" t="inlineStr">
        <is>
          <t>Partial</t>
        </is>
      </c>
      <c r="G111" s="3" t="inlineStr">
        <is>
          <t>Keyboard paths, focus and ARIA; the help-assistant journey checks aria-expanded and Escape. Contrast is not measured in either theme</t>
        </is>
      </c>
      <c r="H111" s="3" t="inlineStr">
        <is>
          <t>Done 1, Partial 4</t>
        </is>
      </c>
      <c r="I111" s="3" t="inlineStr"/>
      <c r="J111" s="2" t="inlineStr">
        <is>
          <t>none</t>
        </is>
      </c>
      <c r="K111" s="3" t="inlineStr">
        <is>
          <t>As a user, the interface is usable by keyboard and with a screen reader.</t>
        </is>
      </c>
      <c r="L111" s="3" t="inlineStr">
        <is>
          <t>full keyboard navigation, visible focus, correct roles and labels, adequate contrast in both themes.</t>
        </is>
      </c>
    </row>
    <row r="112" ht="69" customHeight="1">
      <c r="A112" s="2" t="inlineStr">
        <is>
          <t>E24-S1</t>
        </is>
      </c>
      <c r="B112" s="2" t="inlineStr">
        <is>
          <t>E24</t>
        </is>
      </c>
      <c r="C112" s="3" t="inlineStr">
        <is>
          <t>Screens</t>
        </is>
      </c>
      <c r="D112" s="3" t="inlineStr">
        <is>
          <t>Phase 6 — Interface</t>
        </is>
      </c>
      <c r="E112" s="2" t="inlineStr">
        <is>
          <t>M</t>
        </is>
      </c>
      <c r="F112" s="2" t="inlineStr">
        <is>
          <t>Done</t>
        </is>
      </c>
      <c r="G112" s="3" t="inlineStr">
        <is>
          <t>/ reads Guide Article (6 published: getting started, forum types, templates, decision authority, escalation protocol, policy lifecycle) and now also shows the forum map. consilium_core.tests.test_w3_guides_core.TestGuideArticlesAreFoundWhereTheAssistantPoints, test_portal_pages.TestAdministrator.</t>
        </is>
      </c>
      <c r="H112" s="3" t="inlineStr">
        <is>
          <t>Done 5</t>
        </is>
      </c>
      <c r="I112" s="3" t="inlineStr"/>
      <c r="J112" s="2" t="inlineStr">
        <is>
          <t>none</t>
        </is>
      </c>
      <c r="K112" s="3" t="inlineStr">
        <is>
          <t>As a new user, the home page tells me how to use the system.</t>
        </is>
      </c>
      <c r="L112" s="3" t="inlineStr">
        <is>
          <t>guidance on forum types and how to choose one, templates, decision authority and escalation protocols.</t>
        </is>
      </c>
    </row>
    <row r="113" ht="43" customHeight="1">
      <c r="A113" s="2" t="inlineStr">
        <is>
          <t>E24-S2</t>
        </is>
      </c>
      <c r="B113" s="2" t="inlineStr">
        <is>
          <t>E24</t>
        </is>
      </c>
      <c r="C113" s="3" t="inlineStr">
        <is>
          <t>Screens</t>
        </is>
      </c>
      <c r="D113" s="3" t="inlineStr">
        <is>
          <t>Phase 6 — Interface</t>
        </is>
      </c>
      <c r="E113" s="2" t="inlineStr">
        <is>
          <t>M</t>
        </is>
      </c>
      <c r="F113" s="2" t="inlineStr">
        <is>
          <t>Done</t>
        </is>
      </c>
      <c r="G113" s="3" t="inlineStr">
        <is>
          <t>/forums on the shared table, with tag filters. governance.tests.test_inventory.TestSearchAndFilter, test_governance_gaps.TestInventoryReads, consilium_core.tests.test_portal_pages.</t>
        </is>
      </c>
      <c r="H113" s="3" t="inlineStr">
        <is>
          <t>Done 5</t>
        </is>
      </c>
      <c r="I113" s="3" t="inlineStr"/>
      <c r="J113" s="2" t="inlineStr">
        <is>
          <t>none</t>
        </is>
      </c>
      <c r="K113" s="3" t="inlineStr">
        <is>
          <t>As a governance user, the main table shows the inventory with the specified columns.</t>
        </is>
      </c>
      <c r="L113" s="3" t="inlineStr">
        <is>
          <t>sortable, filterable, searchable, paginated; a row opens the record.</t>
        </is>
      </c>
    </row>
    <row r="114" ht="82" customHeight="1">
      <c r="A114" s="2" t="inlineStr">
        <is>
          <t>E24-S3</t>
        </is>
      </c>
      <c r="B114" s="2" t="inlineStr">
        <is>
          <t>E24</t>
        </is>
      </c>
      <c r="C114" s="3" t="inlineStr">
        <is>
          <t>Screens</t>
        </is>
      </c>
      <c r="D114" s="3" t="inlineStr">
        <is>
          <t>Phase 6 — Interface</t>
        </is>
      </c>
      <c r="E114" s="2" t="inlineStr">
        <is>
          <t>L</t>
        </is>
      </c>
      <c r="F114" s="2" t="inlineStr">
        <is>
          <t>Done</t>
        </is>
      </c>
      <c r="G114" s="3" t="inlineStr">
        <is>
          <t>/forum tabs: details, membership, linkages, documents (charter), decisions, escalations, history (revisions, record history). Edit only with write permission (www/forum.py). governance.tests.test_governance_gaps.TestPages, consilium_core.tests.test_portal_pages.TestAdministrator.test_record_pages_render_a_real_record, TestReaderWithoutAccess.</t>
        </is>
      </c>
      <c r="H114" s="3" t="inlineStr">
        <is>
          <t>Done 5</t>
        </is>
      </c>
      <c r="I114" s="3" t="inlineStr"/>
      <c r="J114" s="2" t="inlineStr">
        <is>
          <t>none</t>
        </is>
      </c>
      <c r="K114" s="3" t="inlineStr">
        <is>
          <t>As a governance user, the forum detail page shows everything about a forum.</t>
        </is>
      </c>
      <c r="L114" s="3" t="inlineStr">
        <is>
          <t>details, membership, linkages, documents, decisions, history; edit is available only with permission.</t>
        </is>
      </c>
    </row>
    <row r="115" ht="43" customHeight="1">
      <c r="A115" s="2" t="inlineStr">
        <is>
          <t>E24-S4</t>
        </is>
      </c>
      <c r="B115" s="2" t="inlineStr">
        <is>
          <t>E24</t>
        </is>
      </c>
      <c r="C115" s="3" t="inlineStr">
        <is>
          <t>Screens</t>
        </is>
      </c>
      <c r="D115" s="3" t="inlineStr">
        <is>
          <t>Phase 6 — Interface</t>
        </is>
      </c>
      <c r="E115" s="2" t="inlineStr">
        <is>
          <t>L</t>
        </is>
      </c>
      <c r="F115" s="2" t="inlineStr">
        <is>
          <t>Done</t>
        </is>
      </c>
      <c r="G115" s="3" t="inlineStr">
        <is>
          <t>/create-forum explains the review, marks required fields, saves a draft. governance.tests.test_formation_portal, test_formation.TestIntake.</t>
        </is>
      </c>
      <c r="H115" s="3" t="inlineStr">
        <is>
          <t>Done 5</t>
        </is>
      </c>
      <c r="I115" s="3" t="inlineStr"/>
      <c r="J115" s="2" t="inlineStr">
        <is>
          <t>none</t>
        </is>
      </c>
      <c r="K115" s="3" t="inlineStr">
        <is>
          <t>As a requester, a guided form walks me through creating a forum.</t>
        </is>
      </c>
      <c r="L115" s="3" t="inlineStr">
        <is>
          <t>explains the process and the review to expect, lists required fields, validates as I go, and saves a draft.</t>
        </is>
      </c>
    </row>
    <row r="116" ht="43" customHeight="1">
      <c r="A116" s="2" t="inlineStr">
        <is>
          <t>E24-S5</t>
        </is>
      </c>
      <c r="B116" s="2" t="inlineStr">
        <is>
          <t>E24</t>
        </is>
      </c>
      <c r="C116" s="3" t="inlineStr">
        <is>
          <t>Screens</t>
        </is>
      </c>
      <c r="D116" s="3" t="inlineStr">
        <is>
          <t>Phase 6 — Interface</t>
        </is>
      </c>
      <c r="E116" s="2" t="inlineStr">
        <is>
          <t>M</t>
        </is>
      </c>
      <c r="F116" s="2" t="inlineStr">
        <is>
          <t>Done</t>
        </is>
      </c>
      <c r="G116" s="3" t="inlineStr">
        <is>
          <t>/admin, refused server-side to anyone but administrators (www/admin.py). consilium_core.tests.test_portal_pages.TestEveryRole.test_administration_pages_refuse_everyone_but_administrators.</t>
        </is>
      </c>
      <c r="H116" s="3" t="inlineStr">
        <is>
          <t>Done 5</t>
        </is>
      </c>
      <c r="I116" s="3" t="inlineStr"/>
      <c r="J116" s="2" t="inlineStr">
        <is>
          <t>none</t>
        </is>
      </c>
      <c r="K116" s="3" t="inlineStr">
        <is>
          <t>As an administrator, an administration area covers users, roles and reference data.</t>
        </is>
      </c>
      <c r="L116" s="3" t="inlineStr">
        <is>
          <t>reachable from the shell; restricted to administrators.</t>
        </is>
      </c>
    </row>
    <row r="117" ht="69" customHeight="1">
      <c r="A117" s="2" t="inlineStr">
        <is>
          <t>E25-S1</t>
        </is>
      </c>
      <c r="B117" s="2" t="inlineStr">
        <is>
          <t>E25</t>
        </is>
      </c>
      <c r="C117" s="3" t="inlineStr">
        <is>
          <t>Installation and operations</t>
        </is>
      </c>
      <c r="D117" s="3" t="inlineStr">
        <is>
          <t>Phase 7 — Deployment</t>
        </is>
      </c>
      <c r="E117" s="2" t="inlineStr">
        <is>
          <t>L</t>
        </is>
      </c>
      <c r="F117" s="2" t="inlineStr">
        <is>
          <t>Done</t>
        </is>
      </c>
      <c r="G117" s="3" t="inlineStr">
        <is>
          <t>deploy/make_bundle.py, deploy/install.sh: prerequisites checked before any change; air-gapped Rocky Linux 9 install in 2 min 23 s, health 17/17, 0 network lines in pip's log (DEPLOYMENT-READINESS §1–2; evidence/linux-rehearsal/20-airgap-proof.txt, 21-rocky-install.log)</t>
        </is>
      </c>
      <c r="H117" s="3" t="inlineStr">
        <is>
          <t>Done 4, Partial 3</t>
        </is>
      </c>
      <c r="I117" s="3" t="inlineStr"/>
      <c r="J117" s="2" t="inlineStr">
        <is>
          <t>none</t>
        </is>
      </c>
      <c r="K117" s="3" t="inlineStr">
        <is>
          <t>As a deployer, I install the whole system on an air-gapped server from staged artifacts.</t>
        </is>
      </c>
      <c r="L117" s="3" t="inlineStr">
        <is>
          <t>a documented, scripted install with no network access at any point; the script verifies its own prerequisites and fails clearly when one is missing.</t>
        </is>
      </c>
    </row>
    <row r="118" ht="56" customHeight="1">
      <c r="A118" s="2" t="inlineStr">
        <is>
          <t>E25-S2</t>
        </is>
      </c>
      <c r="B118" s="2" t="inlineStr">
        <is>
          <t>E25</t>
        </is>
      </c>
      <c r="C118" s="3" t="inlineStr">
        <is>
          <t>Installation and operations</t>
        </is>
      </c>
      <c r="D118" s="3" t="inlineStr">
        <is>
          <t>Phase 7 — Deployment</t>
        </is>
      </c>
      <c r="E118" s="2" t="inlineStr">
        <is>
          <t>M</t>
        </is>
      </c>
      <c r="F118" s="2" t="inlineStr">
        <is>
          <t>Partial</t>
        </is>
      </c>
      <c r="G118" s="3" t="inlineStr">
        <is>
          <t>deploy/install.ps1, scripts/bootstrap.ps1; toolchain tests (tests/test_compat.py, Windows simulated) run on windows-latest in CI. No install has been run on a managed Windows workstation (E34-S6)</t>
        </is>
      </c>
      <c r="H118" s="3" t="inlineStr">
        <is>
          <t>Done 4, Partial 3</t>
        </is>
      </c>
      <c r="I118" s="3" t="inlineStr"/>
      <c r="J118" s="2" t="inlineStr">
        <is>
          <t>none</t>
        </is>
      </c>
      <c r="K118" s="3" t="inlineStr">
        <is>
          <t>As a deployer, I install on a managed corporate Windows workstation.</t>
        </is>
      </c>
      <c r="L118" s="3" t="inlineStr">
        <is>
          <t>same scripted path; no compiler, no package manager, no administrator rights beyond what is documented.</t>
        </is>
      </c>
    </row>
    <row r="119" ht="82" customHeight="1">
      <c r="A119" s="2" t="inlineStr">
        <is>
          <t>E25-S3</t>
        </is>
      </c>
      <c r="B119" s="2" t="inlineStr">
        <is>
          <t>E25</t>
        </is>
      </c>
      <c r="C119" s="3" t="inlineStr">
        <is>
          <t>Installation and operations</t>
        </is>
      </c>
      <c r="D119" s="3" t="inlineStr">
        <is>
          <t>Phase 7 — Deployment</t>
        </is>
      </c>
      <c r="E119" s="2" t="inlineStr">
        <is>
          <t>M</t>
        </is>
      </c>
      <c r="F119" s="2" t="inlineStr">
        <is>
          <t>Done</t>
        </is>
      </c>
      <c r="G119" s="3" t="inlineStr">
        <is>
          <t>deploy/verify.sh (one command, 14 checks: every unit active, exactly one scheduler process, web answers, the 17-check deploy/healthcheck.py with a remedy per failure, smoke, workflow, PDF, no network, UI sweep with guest refusal per page, no-CDN, TLS, scheduler enabled) wrote READY 14/14 on Rocky 9, fresh and after upgrade (evidence/linux-rehearsal/23-…, 66-…)</t>
        </is>
      </c>
      <c r="H119" s="3" t="inlineStr">
        <is>
          <t>Done 4, Partial 3</t>
        </is>
      </c>
      <c r="I119" s="3" t="inlineStr"/>
      <c r="J119" s="2" t="inlineStr">
        <is>
          <t>none</t>
        </is>
      </c>
      <c r="K119" s="3" t="inlineStr">
        <is>
          <t>As a deployer, I can confirm the installation is healthy.</t>
        </is>
      </c>
      <c r="L119" s="3" t="inlineStr">
        <is>
          <t>one command checks database, cache, workers, scheduler, assets and permissions and reports pass or fail per check with a remedy for each failure.</t>
        </is>
      </c>
    </row>
    <row r="120" ht="69" customHeight="1">
      <c r="A120" s="2" t="inlineStr">
        <is>
          <t>E25-S4</t>
        </is>
      </c>
      <c r="B120" s="2" t="inlineStr">
        <is>
          <t>E25</t>
        </is>
      </c>
      <c r="C120" s="3" t="inlineStr">
        <is>
          <t>Installation and operations</t>
        </is>
      </c>
      <c r="D120" s="3" t="inlineStr">
        <is>
          <t>Phase 7 — Deployment</t>
        </is>
      </c>
      <c r="E120" s="2" t="inlineStr">
        <is>
          <t>M</t>
        </is>
      </c>
      <c r="F120" s="2" t="inlineStr">
        <is>
          <t>Done</t>
        </is>
      </c>
      <c r="G120" s="3" t="inlineStr">
        <is>
          <t>deploy/backup.sh (SHA-256 manifest, mode 0600, retention) and restore.sh; restored in place (24 s, health 17/17) and into a new empty database on the air-gapped host with identical row counts (evidence/linux-rehearsal/50-backup-restore.log, 30-migration-rehearsal.log, 31-counts-*.txt)</t>
        </is>
      </c>
      <c r="H120" s="3" t="inlineStr">
        <is>
          <t>Done 4, Partial 3</t>
        </is>
      </c>
      <c r="I120" s="3" t="inlineStr"/>
      <c r="J120" s="2" t="inlineStr">
        <is>
          <t>none</t>
        </is>
      </c>
      <c r="K120" s="3" t="inlineStr">
        <is>
          <t>As an operator, I can back up and restore.</t>
        </is>
      </c>
      <c r="L120" s="3" t="inlineStr">
        <is>
          <t>documented, scripted, tested by an actual restore into an empty database, not only by taking a backup.</t>
        </is>
      </c>
    </row>
    <row r="121" ht="95" customHeight="1">
      <c r="A121" s="2" t="inlineStr">
        <is>
          <t>E25-S5</t>
        </is>
      </c>
      <c r="B121" s="2" t="inlineStr">
        <is>
          <t>E25</t>
        </is>
      </c>
      <c r="C121" s="3" t="inlineStr">
        <is>
          <t>Installation and operations</t>
        </is>
      </c>
      <c r="D121" s="3" t="inlineStr">
        <is>
          <t>Phase 7 — Deployment</t>
        </is>
      </c>
      <c r="E121" s="2" t="inlineStr">
        <is>
          <t>L</t>
        </is>
      </c>
      <c r="F121" s="2" t="inlineStr">
        <is>
          <t>Done</t>
        </is>
      </c>
      <c r="G121" s="3" t="inlineStr">
        <is>
          <t>deploy/upgrade.sh, documented in docs/OPERATIONS.md and RUNBOOK Phase 3; migrations are explicitly flagged as not reversible (restore the pre-upgrade backup). Upgrade from the previous release (c2c8a91) to the working tree on Rocky 9: 1 min 29 s, no table lost a row, verify 14/14 after (evidence/linux-rehearsal/63-upgrade-run.log, 65-upgrade-counts-diff.txt). Rollback printed, not exercised</t>
        </is>
      </c>
      <c r="H121" s="3" t="inlineStr">
        <is>
          <t>Done 4, Partial 3</t>
        </is>
      </c>
      <c r="I121" s="3" t="inlineStr"/>
      <c r="J121" s="2" t="inlineStr">
        <is>
          <t>none</t>
        </is>
      </c>
      <c r="K121" s="3" t="inlineStr">
        <is>
          <t>As an operator, I can upgrade without losing data.</t>
        </is>
      </c>
      <c r="L121" s="3" t="inlineStr">
        <is>
          <t>a documented upgrade path; migrations are reversible or explicitly flagged as not; tested from the previous release.</t>
        </is>
      </c>
    </row>
    <row r="122" ht="69" customHeight="1">
      <c r="A122" s="2" t="inlineStr">
        <is>
          <t>E25-S6</t>
        </is>
      </c>
      <c r="B122" s="2" t="inlineStr">
        <is>
          <t>E25</t>
        </is>
      </c>
      <c r="C122" s="3" t="inlineStr">
        <is>
          <t>Installation and operations</t>
        </is>
      </c>
      <c r="D122" s="3" t="inlineStr">
        <is>
          <t>Phase 7 — Deployment</t>
        </is>
      </c>
      <c r="E122" s="2" t="inlineStr">
        <is>
          <t>M</t>
        </is>
      </c>
      <c r="F122" s="2" t="inlineStr">
        <is>
          <t>Partial</t>
        </is>
      </c>
      <c r="G122" s="3" t="inlineStr">
        <is>
          <t>Both models in deploy/install.sh (superuser, and provisioned with --no-setup-db and no superuser on disk); tests/test_kit.py::test_superuser_provisioning_needs_a_root_password_source. Only superuser was rehearsed; the provisioned path has never been run</t>
        </is>
      </c>
      <c r="H122" s="3" t="inlineStr">
        <is>
          <t>Done 4, Partial 3</t>
        </is>
      </c>
      <c r="I122" s="3" t="inlineStr"/>
      <c r="J122" s="2" t="inlineStr">
        <is>
          <t>none</t>
        </is>
      </c>
      <c r="K122" s="3" t="inlineStr">
        <is>
          <t>As a deployer, the database can be either self-installed or provisioned by a database team.</t>
        </is>
      </c>
      <c r="L122" s="3" t="inlineStr">
        <is>
          <t>both paths documented; the provisioned path does not require superuser; both are tested.</t>
        </is>
      </c>
    </row>
    <row r="123" ht="43" customHeight="1">
      <c r="A123" s="2" t="inlineStr">
        <is>
          <t>E25-S7</t>
        </is>
      </c>
      <c r="B123" s="2" t="inlineStr">
        <is>
          <t>E25</t>
        </is>
      </c>
      <c r="C123" s="3" t="inlineStr">
        <is>
          <t>Installation and operations</t>
        </is>
      </c>
      <c r="D123" s="3" t="inlineStr">
        <is>
          <t>Phase 7 — Deployment</t>
        </is>
      </c>
      <c r="E123" s="2" t="inlineStr">
        <is>
          <t>M</t>
        </is>
      </c>
      <c r="F123" s="2" t="inlineStr">
        <is>
          <t>Partial</t>
        </is>
      </c>
      <c r="G123" s="3" t="inlineStr">
        <is>
          <t>docs/OPERATIONS.md says what to watch; logs are files and the journal. No structured logs, nothing collects or alerts (DEPLOYMENT-READINESS §6)</t>
        </is>
      </c>
      <c r="H123" s="3" t="inlineStr">
        <is>
          <t>Done 4, Partial 3</t>
        </is>
      </c>
      <c r="I123" s="3" t="inlineStr"/>
      <c r="J123" s="2" t="inlineStr">
        <is>
          <t>none</t>
        </is>
      </c>
      <c r="K123" s="3" t="inlineStr">
        <is>
          <t>As an operator, the system produces logs and metrics I can act on.</t>
        </is>
      </c>
      <c r="L123" s="3" t="inlineStr">
        <is>
          <t>structured logs, error reporting, and a documented list of what to watch.</t>
        </is>
      </c>
    </row>
    <row r="124" ht="69" customHeight="1">
      <c r="A124" s="2" t="inlineStr">
        <is>
          <t>E26-S1</t>
        </is>
      </c>
      <c r="B124" s="2" t="inlineStr">
        <is>
          <t>E26</t>
        </is>
      </c>
      <c r="C124" s="3" t="inlineStr">
        <is>
          <t>Quality</t>
        </is>
      </c>
      <c r="D124" s="3" t="inlineStr">
        <is>
          <t>Phase 7 — Deployment</t>
        </is>
      </c>
      <c r="E124" s="2" t="inlineStr">
        <is>
          <t>L</t>
        </is>
      </c>
      <c r="F124" s="2" t="inlineStr">
        <is>
          <t>Partial</t>
        </is>
      </c>
      <c r="G124" s="3" t="inlineStr">
        <is>
          <t>1372 tests; each of the 142 product DocTypes has a test file with shape tests (installed, fields reach the table, readable by someone), behaviour in the module suites. Coverage is not reported, and the working tree holds an untracked scratch DocType consilium_core/doctype/abc whose test file has no test</t>
        </is>
      </c>
      <c r="H124" s="3" t="inlineStr">
        <is>
          <t>Done 1, Partial 4</t>
        </is>
      </c>
      <c r="I124" s="3" t="inlineStr"/>
      <c r="J124" s="2" t="inlineStr">
        <is>
          <t>none</t>
        </is>
      </c>
      <c r="K124" s="3" t="inlineStr">
        <is>
          <t>As an engineer, every entity has tests covering create, read, update, permissions and validation.</t>
        </is>
      </c>
      <c r="L124" s="3" t="inlineStr">
        <is>
          <t>coverage reported; no entity without tests.</t>
        </is>
      </c>
    </row>
    <row r="125" ht="82" customHeight="1">
      <c r="A125" s="2" t="inlineStr">
        <is>
          <t>E26-S2</t>
        </is>
      </c>
      <c r="B125" s="2" t="inlineStr">
        <is>
          <t>E26</t>
        </is>
      </c>
      <c r="C125" s="3" t="inlineStr">
        <is>
          <t>Quality</t>
        </is>
      </c>
      <c r="D125" s="3" t="inlineStr">
        <is>
          <t>Phase 7 — Deployment</t>
        </is>
      </c>
      <c r="E125" s="2" t="inlineStr">
        <is>
          <t>L</t>
        </is>
      </c>
      <c r="F125" s="2" t="inlineStr">
        <is>
          <t>Partial</t>
        </is>
      </c>
      <c r="G125" s="3" t="inlineStr">
        <is>
          <t>Formation, compliance review, lifecycle, publication and closure refusals are tested by role (governance.tests.test_formation_portal.TestRoleRefusals (all 5), policy.tests.test_portal_actions.TestLifecycleActions (all 8), policy.tests.test_regressions.TestGatesOnEveryRoute (all 3)). No test attempts every Workflow transition as a role that may not take it</t>
        </is>
      </c>
      <c r="H125" s="3" t="inlineStr">
        <is>
          <t>Done 1, Partial 4</t>
        </is>
      </c>
      <c r="I125" s="3" t="inlineStr"/>
      <c r="J125" s="2" t="inlineStr">
        <is>
          <t>none</t>
        </is>
      </c>
      <c r="K125" s="3" t="inlineStr">
        <is>
          <t>As an engineer, every workflow has tests covering the happy path, each rejection path and each permission boundary.</t>
        </is>
      </c>
      <c r="L125" s="3" t="inlineStr">
        <is>
          <t>a test attempts each transition as a role that should not be allowed it.</t>
        </is>
      </c>
    </row>
    <row r="126" ht="82" customHeight="1">
      <c r="A126" s="2" t="inlineStr">
        <is>
          <t>E26-S3</t>
        </is>
      </c>
      <c r="B126" s="2" t="inlineStr">
        <is>
          <t>E26</t>
        </is>
      </c>
      <c r="C126" s="3" t="inlineStr">
        <is>
          <t>Quality</t>
        </is>
      </c>
      <c r="D126" s="3" t="inlineStr">
        <is>
          <t>Phase 7 — Deployment</t>
        </is>
      </c>
      <c r="E126" s="2" t="inlineStr">
        <is>
          <t>L</t>
        </is>
      </c>
      <c r="F126" s="2" t="inlineStr">
        <is>
          <t>Partial</t>
        </is>
      </c>
      <c r="G126" s="3" t="inlineStr">
        <is>
          <t>scripts/browser_journeys.py drives Chrome through Playwright: 8/8 journeys pass. The journeys only navigate and read ("It changes nothing"): none takes a forum from creation to approval, a policy from drafting to publication or an escalation from raising to closure in a browser; those paths are covered server-side by the portal-action tests</t>
        </is>
      </c>
      <c r="H126" s="3" t="inlineStr">
        <is>
          <t>Done 1, Partial 4</t>
        </is>
      </c>
      <c r="I126" s="3" t="inlineStr"/>
      <c r="J126" s="2" t="inlineStr">
        <is>
          <t>none</t>
        </is>
      </c>
      <c r="K126" s="3" t="inlineStr">
        <is>
          <t>As an engineer, the main journeys are covered end to end in a browser.</t>
        </is>
      </c>
      <c r="L126" s="3" t="inlineStr">
        <is>
          <t>forum creation through to approval, policy drafting through to publication, escalation raising through to closure.</t>
        </is>
      </c>
    </row>
    <row r="127" ht="56" customHeight="1">
      <c r="A127" s="2" t="inlineStr">
        <is>
          <t>E26-S4</t>
        </is>
      </c>
      <c r="B127" s="2" t="inlineStr">
        <is>
          <t>E26</t>
        </is>
      </c>
      <c r="C127" s="3" t="inlineStr">
        <is>
          <t>Quality</t>
        </is>
      </c>
      <c r="D127" s="3" t="inlineStr">
        <is>
          <t>Phase 7 — Deployment</t>
        </is>
      </c>
      <c r="E127" s="2" t="inlineStr">
        <is>
          <t>M</t>
        </is>
      </c>
      <c r="F127" s="2" t="inlineStr">
        <is>
          <t>Done</t>
        </is>
      </c>
      <c r="G127" s="3" t="inlineStr">
        <is>
          <t>scripts/check_platform_rules.py: no CDN, no package manager, vendored checksums, no client-identifying content, no state names in conditionals, every dependency a wheel; 6/6, first CI job; verify.sh also proves no network at install</t>
        </is>
      </c>
      <c r="H127" s="3" t="inlineStr">
        <is>
          <t>Done 1, Partial 4</t>
        </is>
      </c>
      <c r="I127" s="3" t="inlineStr"/>
      <c r="J127" s="2" t="inlineStr">
        <is>
          <t>none</t>
        </is>
      </c>
      <c r="K127" s="3" t="inlineStr">
        <is>
          <t>As an engineer, automated checks enforce the platform rules.</t>
        </is>
      </c>
      <c r="L127" s="3" t="inlineStr">
        <is>
          <t>checks fail the build on a CDN reference, a network fetch at run time, a compiler-requiring dependency, or client-identifying content.</t>
        </is>
      </c>
    </row>
    <row r="128" ht="69" customHeight="1">
      <c r="A128" s="2" t="inlineStr">
        <is>
          <t>E26-S5</t>
        </is>
      </c>
      <c r="B128" s="2" t="inlineStr">
        <is>
          <t>E26</t>
        </is>
      </c>
      <c r="C128" s="3" t="inlineStr">
        <is>
          <t>Quality</t>
        </is>
      </c>
      <c r="D128" s="3" t="inlineStr">
        <is>
          <t>Phase 7 — Deployment</t>
        </is>
      </c>
      <c r="E128" s="2" t="inlineStr">
        <is>
          <t>M</t>
        </is>
      </c>
      <c r="F128" s="2" t="inlineStr">
        <is>
          <t>Partial</t>
        </is>
      </c>
      <c r="G128" s="3" t="inlineStr">
        <is>
          <t>scripts/load_test.py recorded p50/p95/p99 for 11 portal pages and 5 API calls at 1–25 threads, 0 errors (DEPLOYMENT-READINESS §7). The data is the demonstration set (14 forums, 15 documents, 15 matters), not a representative volume, and the host was an emulated laptop; see E34-S3</t>
        </is>
      </c>
      <c r="H128" s="3" t="inlineStr">
        <is>
          <t>Done 1, Partial 4</t>
        </is>
      </c>
      <c r="I128" s="3" t="inlineStr"/>
      <c r="J128" s="2" t="inlineStr">
        <is>
          <t>none</t>
        </is>
      </c>
      <c r="K128" s="3" t="inlineStr">
        <is>
          <t>As an engineer, the system is exercised with realistic data volumes.</t>
        </is>
      </c>
      <c r="L128" s="3" t="inlineStr">
        <is>
          <t>seeded with a volume representative of the real inventory; list, search and dashboard response times recorded.</t>
        </is>
      </c>
    </row>
    <row r="129" ht="82" customHeight="1">
      <c r="A129" s="2" t="inlineStr">
        <is>
          <t>E27-S1</t>
        </is>
      </c>
      <c r="B129" s="2" t="inlineStr">
        <is>
          <t>E27</t>
        </is>
      </c>
      <c r="C129" s="3" t="inlineStr">
        <is>
          <t>Portal write paths</t>
        </is>
      </c>
      <c r="D129" s="3" t="inlineStr">
        <is>
          <t>Phase 8 — Gaps not in the original backlog</t>
        </is>
      </c>
      <c r="E129" s="2" t="inlineStr">
        <is>
          <t>M</t>
        </is>
      </c>
      <c r="F129" s="2" t="inlineStr">
        <is>
          <t>Done</t>
        </is>
      </c>
      <c r="G129" s="3" t="inlineStr">
        <is>
          <t>formation.* endpoints (including charter challenge and in-turn step decisions), lifecycle.record_compliance_review, and the annual review panel. governance.tests.test_formation_portal (all 10 classes, 35 tests, including TestRoleRefusals and TestStageRefusals), test_wave3_governance.TestCharterChallengeOnTheRequest.</t>
        </is>
      </c>
      <c r="H129" s="3" t="inlineStr">
        <is>
          <t>Done 11, Partial 1</t>
        </is>
      </c>
      <c r="I129" s="3" t="inlineStr">
        <is>
          <t>P-8, P-9, P-16, P-19, P-26, E-5, E-8, E-10</t>
        </is>
      </c>
      <c r="J129" s="2" t="inlineStr">
        <is>
          <t>epic trace</t>
        </is>
      </c>
      <c r="K129" s="3" t="inlineStr">
        <is>
          <t>As the governance office, I work formation requests and forum compliance reviews on the portal.</t>
        </is>
      </c>
      <c r="L129" s="3" t="inlineStr">
        <is>
          <t>/formation-requests, /formation-request and /forum-review offer each formation and compliance action of E7 and E8 only to the role and stage that allow it; a refusal is audited.</t>
        </is>
      </c>
    </row>
    <row r="130" ht="43" customHeight="1">
      <c r="A130" s="2" t="inlineStr">
        <is>
          <t>E27-S2</t>
        </is>
      </c>
      <c r="B130" s="2" t="inlineStr">
        <is>
          <t>E27</t>
        </is>
      </c>
      <c r="C130" s="3" t="inlineStr">
        <is>
          <t>Portal write paths</t>
        </is>
      </c>
      <c r="D130" s="3" t="inlineStr">
        <is>
          <t>Phase 8 — Gaps not in the original backlog</t>
        </is>
      </c>
      <c r="E130" s="2" t="inlineStr">
        <is>
          <t>M</t>
        </is>
      </c>
      <c r="F130" s="2" t="inlineStr">
        <is>
          <t>Done</t>
        </is>
      </c>
      <c r="G130" s="3" t="inlineStr">
        <is>
          <t>lifecycle.document_actions and take_action (POST only) on /policy. policy.test_portal_actions.TestLifecycleActions (all 8), policy.test_wave3_policy.TestTransitionIsPostOnly</t>
        </is>
      </c>
      <c r="H130" s="3" t="inlineStr">
        <is>
          <t>Done 11, Partial 1</t>
        </is>
      </c>
      <c r="I130" s="3" t="inlineStr">
        <is>
          <t>P-8, P-9, P-16, P-19, P-26, E-5, E-8, E-10</t>
        </is>
      </c>
      <c r="J130" s="2" t="inlineStr">
        <is>
          <t>epic trace</t>
        </is>
      </c>
      <c r="K130" s="3" t="inlineStr">
        <is>
          <t>As a drafter or approver, I move a document through its lifecycle from /policy.</t>
        </is>
      </c>
      <c r="L130" s="3" t="inlineStr">
        <is>
          <t>the buttons offered are the Workflow actions open to me in the current state; each goes through the gated route; a refusal names the failing gate.</t>
        </is>
      </c>
    </row>
    <row r="131" ht="82" customHeight="1">
      <c r="A131" s="2" t="inlineStr">
        <is>
          <t>E27-S3</t>
        </is>
      </c>
      <c r="B131" s="2" t="inlineStr">
        <is>
          <t>E27</t>
        </is>
      </c>
      <c r="C131" s="3" t="inlineStr">
        <is>
          <t>Portal write paths</t>
        </is>
      </c>
      <c r="D131" s="3" t="inlineStr">
        <is>
          <t>Phase 8 — Gaps not in the original backlog</t>
        </is>
      </c>
      <c r="E131" s="2" t="inlineStr">
        <is>
          <t>M</t>
        </is>
      </c>
      <c r="F131" s="2" t="inlineStr">
        <is>
          <t>Done</t>
        </is>
      </c>
      <c r="G131" s="3" t="inlineStr">
        <is>
          <t>routing.raise_steps, decide_step and bypass_step on /policy; the planned steps are shown first; the sequential order is held back on screen; approvers and the owner are told through the policy.approval.requested, decided and bypassed templates. test_portal_actions.TestApprovalChain (all 15), policy.test_wave3_policy.TestDocumentStepOrder</t>
        </is>
      </c>
      <c r="H131" s="3" t="inlineStr">
        <is>
          <t>Done 11, Partial 1</t>
        </is>
      </c>
      <c r="I131" s="3" t="inlineStr">
        <is>
          <t>P-8, P-9, P-16, P-19, P-26, E-5, E-8, E-10</t>
        </is>
      </c>
      <c r="J131" s="2" t="inlineStr">
        <is>
          <t>epic trace</t>
        </is>
      </c>
      <c r="K131" s="3" t="inlineStr">
        <is>
          <t>As a policy owner, I raise approval steps and approvers decide them from /policy.</t>
        </is>
      </c>
      <c r="L131" s="3" t="inlineStr">
        <is>
          <t>steps come from the resolved route and are shown before submission; only the assignee or a delegate decides; bypass needs an exception authorisation.</t>
        </is>
      </c>
    </row>
    <row r="132" ht="43" customHeight="1">
      <c r="A132" s="2" t="inlineStr">
        <is>
          <t>E27-S4</t>
        </is>
      </c>
      <c r="B132" s="2" t="inlineStr">
        <is>
          <t>E27</t>
        </is>
      </c>
      <c r="C132" s="3" t="inlineStr">
        <is>
          <t>Portal write paths</t>
        </is>
      </c>
      <c r="D132" s="3" t="inlineStr">
        <is>
          <t>Phase 8 — Gaps not in the original backlog</t>
        </is>
      </c>
      <c r="E132" s="2" t="inlineStr">
        <is>
          <t>M</t>
        </is>
      </c>
      <c r="F132" s="2" t="inlineStr">
        <is>
          <t>Done</t>
        </is>
      </c>
      <c r="G132" s="3" t="inlineStr">
        <is>
          <t>publication.upload_new_version and revert_version on /policy. test_portal_actions.TestVersions (all 9), policy.test_wave3_policy.TestRevertLeavesTheLifecycleAlone</t>
        </is>
      </c>
      <c r="H132" s="3" t="inlineStr">
        <is>
          <t>Done 11, Partial 1</t>
        </is>
      </c>
      <c r="I132" s="3" t="inlineStr">
        <is>
          <t>P-8, P-9, P-16, P-19, P-26, E-5, E-8, E-10</t>
        </is>
      </c>
      <c r="J132" s="2" t="inlineStr">
        <is>
          <t>epic trace</t>
        </is>
      </c>
      <c r="K132" s="3" t="inlineStr">
        <is>
          <t>As a policy owner, I upload a new body version and revert to an earlier one from /policy.</t>
        </is>
      </c>
      <c r="L132" s="3" t="inlineStr">
        <is>
          <t>upload only while editable; revert writes a new version with a required reason.</t>
        </is>
      </c>
    </row>
    <row r="133" ht="43" customHeight="1">
      <c r="A133" s="2" t="inlineStr">
        <is>
          <t>E27-S5</t>
        </is>
      </c>
      <c r="B133" s="2" t="inlineStr">
        <is>
          <t>E27</t>
        </is>
      </c>
      <c r="C133" s="3" t="inlineStr">
        <is>
          <t>Portal write paths</t>
        </is>
      </c>
      <c r="D133" s="3" t="inlineStr">
        <is>
          <t>Phase 8 — Gaps not in the original backlog</t>
        </is>
      </c>
      <c r="E133" s="2" t="inlineStr">
        <is>
          <t>M</t>
        </is>
      </c>
      <c r="F133" s="2" t="inlineStr">
        <is>
          <t>Done</t>
        </is>
      </c>
      <c r="G133" s="3" t="inlineStr">
        <is>
          <t>publication.audience_preview, publish_record and withdraw_publication on /policy. test_portal_actions.TestPublication (all 7)</t>
        </is>
      </c>
      <c r="H133" s="3" t="inlineStr">
        <is>
          <t>Done 11, Partial 1</t>
        </is>
      </c>
      <c r="I133" s="3" t="inlineStr">
        <is>
          <t>P-8, P-9, P-16, P-19, P-26, E-5, E-8, E-10</t>
        </is>
      </c>
      <c r="J133" s="2" t="inlineStr">
        <is>
          <t>epic trace</t>
        </is>
      </c>
      <c r="K133" s="3" t="inlineStr">
        <is>
          <t>As the policy office, I publish from /policy.</t>
        </is>
      </c>
      <c r="L133" s="3" t="inlineStr">
        <is>
          <t>the audience is previewed first; publishing records the publication and notifies the audience; a publication can be withdrawn.</t>
        </is>
      </c>
    </row>
    <row r="134" ht="43" customHeight="1">
      <c r="A134" s="2" t="inlineStr">
        <is>
          <t>E27-S6</t>
        </is>
      </c>
      <c r="B134" s="2" t="inlineStr">
        <is>
          <t>E27</t>
        </is>
      </c>
      <c r="C134" s="3" t="inlineStr">
        <is>
          <t>Portal write paths</t>
        </is>
      </c>
      <c r="D134" s="3" t="inlineStr">
        <is>
          <t>Phase 8 — Gaps not in the original backlog</t>
        </is>
      </c>
      <c r="E134" s="2" t="inlineStr">
        <is>
          <t>M</t>
        </is>
      </c>
      <c r="F134" s="2" t="inlineStr">
        <is>
          <t>Done</t>
        </is>
      </c>
      <c r="G134" s="3" t="inlineStr">
        <is>
          <t>horizon.open_review, conclude_review and record_scan on /policy. test_portal_actions.TestReviewsAndScans (all 7)</t>
        </is>
      </c>
      <c r="H134" s="3" t="inlineStr">
        <is>
          <t>Done 11, Partial 1</t>
        </is>
      </c>
      <c r="I134" s="3" t="inlineStr">
        <is>
          <t>P-8, P-9, P-16, P-19, P-26, E-5, E-8, E-10</t>
        </is>
      </c>
      <c r="J134" s="2" t="inlineStr">
        <is>
          <t>epic trace</t>
        </is>
      </c>
      <c r="K134" s="3" t="inlineStr">
        <is>
          <t>As a policy owner, I open and conclude review cycles and record horizon scans from /policy.</t>
        </is>
      </c>
      <c r="L134" s="3" t="inlineStr">
        <is>
          <t>a cycle opens and concludes with an outcome; a scan records its sources, areas and impact.</t>
        </is>
      </c>
    </row>
    <row r="135" ht="56" customHeight="1">
      <c r="A135" s="2" t="inlineStr">
        <is>
          <t>E27-S7</t>
        </is>
      </c>
      <c r="B135" s="2" t="inlineStr">
        <is>
          <t>E27</t>
        </is>
      </c>
      <c r="C135" s="3" t="inlineStr">
        <is>
          <t>Portal write paths</t>
        </is>
      </c>
      <c r="D135" s="3" t="inlineStr">
        <is>
          <t>Phase 8 — Gaps not in the original backlog</t>
        </is>
      </c>
      <c r="E135" s="2" t="inlineStr">
        <is>
          <t>L</t>
        </is>
      </c>
      <c r="F135" s="2" t="inlineStr">
        <is>
          <t>Done</t>
        </is>
      </c>
      <c r="G135" s="3" t="inlineStr">
        <is>
          <t>/policy-intake, linked from /policies: intake.raise_request, classify_request, challenge_request, override_request, create_from_request and withdraw_request. test_portal_actions.TestIntake (all 12), TestPages.test_the_intake_page_renders</t>
        </is>
      </c>
      <c r="H135" s="3" t="inlineStr">
        <is>
          <t>Done 11, Partial 1</t>
        </is>
      </c>
      <c r="I135" s="3" t="inlineStr">
        <is>
          <t>P-8, P-9, P-16, P-19, P-26, E-5, E-8, E-10</t>
        </is>
      </c>
      <c r="J135" s="2" t="inlineStr">
        <is>
          <t>epic trace</t>
        </is>
      </c>
      <c r="K135" s="3" t="inlineStr">
        <is>
          <t>As a requester, I raise a policy intake and see it classified on /policy-intake.</t>
        </is>
      </c>
      <c r="L135" s="3" t="inlineStr">
        <is>
          <t>answers produce a classification showing the rule that fired; I can challenge it; the office can override with a justification and create the document.</t>
        </is>
      </c>
    </row>
    <row r="136" ht="82" customHeight="1">
      <c r="A136" s="2" t="inlineStr">
        <is>
          <t>E27-S8</t>
        </is>
      </c>
      <c r="B136" s="2" t="inlineStr">
        <is>
          <t>E27</t>
        </is>
      </c>
      <c r="C136" s="3" t="inlineStr">
        <is>
          <t>Portal write paths</t>
        </is>
      </c>
      <c r="D136" s="3" t="inlineStr">
        <is>
          <t>Phase 8 — Gaps not in the original backlog</t>
        </is>
      </c>
      <c r="E136" s="2" t="inlineStr">
        <is>
          <t>S</t>
        </is>
      </c>
      <c r="F136" s="2" t="inlineStr">
        <is>
          <t>Partial</t>
        </is>
      </c>
      <c r="G136" s="3" t="inlineStr">
        <is>
          <t>monitoring.record_result (which advances next_due_on), log_violation and update_violation work on /policy. test_portal_actions.TestMonitoring (all 8), policy.test_wave3.TestViolationTransitions. The optional escalation link cannot be set from /policy: log_violation takes no escalation argument, so it is set on the desk only.</t>
        </is>
      </c>
      <c r="H136" s="3" t="inlineStr">
        <is>
          <t>Done 11, Partial 1</t>
        </is>
      </c>
      <c r="I136" s="3" t="inlineStr">
        <is>
          <t>P-8, P-9, P-16, P-19, P-26, E-5, E-8, E-10</t>
        </is>
      </c>
      <c r="J136" s="2" t="inlineStr">
        <is>
          <t>epic trace</t>
        </is>
      </c>
      <c r="K136" s="3" t="inlineStr">
        <is>
          <t>As the policy office, I record monitoring results and violations from /policy.</t>
        </is>
      </c>
      <c r="L136" s="3" t="inlineStr">
        <is>
          <t>a result advances its activity; a violation links to the document and optionally an escalation.</t>
        </is>
      </c>
    </row>
    <row r="137" ht="43" customHeight="1">
      <c r="A137" s="2" t="inlineStr">
        <is>
          <t>E27-S9</t>
        </is>
      </c>
      <c r="B137" s="2" t="inlineStr">
        <is>
          <t>E27</t>
        </is>
      </c>
      <c r="C137" s="3" t="inlineStr">
        <is>
          <t>Portal write paths</t>
        </is>
      </c>
      <c r="D137" s="3" t="inlineStr">
        <is>
          <t>Phase 8 — Gaps not in the original backlog</t>
        </is>
      </c>
      <c r="E137" s="2" t="inlineStr">
        <is>
          <t>M</t>
        </is>
      </c>
      <c r="F137" s="2" t="inlineStr">
        <is>
          <t>Done</t>
        </is>
      </c>
      <c r="G137" s="3" t="inlineStr">
        <is>
          <t>/raise-escalation; templates.intake_options, template_requirements, routing.propose_pathway, raise_escalation (POST). escalation.tests.test_portal_actions.TestRaise (all 6).</t>
        </is>
      </c>
      <c r="H137" s="3" t="inlineStr">
        <is>
          <t>Done 11, Partial 1</t>
        </is>
      </c>
      <c r="I137" s="3" t="inlineStr">
        <is>
          <t>P-8, P-9, P-16, P-19, P-26, E-5, E-8, E-10</t>
        </is>
      </c>
      <c r="J137" s="2" t="inlineStr">
        <is>
          <t>epic trace</t>
        </is>
      </c>
      <c r="K137" s="3" t="inlineStr">
        <is>
          <t>As an escalation owner, I raise a matter on /raise-escalation.</t>
        </is>
      </c>
      <c r="L137" s="3" t="inlineStr">
        <is>
          <t>the type selects the template; required fields apply by template and severity; the matrix proposes the pathway.</t>
        </is>
      </c>
    </row>
    <row r="138" ht="95" customHeight="1">
      <c r="A138" s="2" t="inlineStr">
        <is>
          <t>E27-S10</t>
        </is>
      </c>
      <c r="B138" s="2" t="inlineStr">
        <is>
          <t>E27</t>
        </is>
      </c>
      <c r="C138" s="3" t="inlineStr">
        <is>
          <t>Portal write paths</t>
        </is>
      </c>
      <c r="D138" s="3" t="inlineStr">
        <is>
          <t>Phase 8 — Gaps not in the original backlog</t>
        </is>
      </c>
      <c r="E138" s="2" t="inlineStr">
        <is>
          <t>L</t>
        </is>
      </c>
      <c r="F138" s="2" t="inlineStr">
        <is>
          <t>Done</t>
        </is>
      </c>
      <c r="G138" s="3" t="inlineStr">
        <is>
          <t>/escalation workbench from resolution.get_matter_workbench; move_matter_status, add_action_plan, update_action_plan, record_review_round, record_matter_closure, close_matter re-check stage and role on the server. escalation.tests.test_portal_actions.TestWorkbench (all 3), TestStatus (all 4), TestActionPlans (all 4), TestReviewRounds (all 5), TestClosure (all 5), TestSensitiveMatter (all 3).</t>
        </is>
      </c>
      <c r="H138" s="3" t="inlineStr">
        <is>
          <t>Done 11, Partial 1</t>
        </is>
      </c>
      <c r="I138" s="3" t="inlineStr">
        <is>
          <t>P-8, P-9, P-16, P-19, P-26, E-5, E-8, E-10</t>
        </is>
      </c>
      <c r="J138" s="2" t="inlineStr">
        <is>
          <t>epic trace</t>
        </is>
      </c>
      <c r="K138" s="3" t="inlineStr">
        <is>
          <t>As an escalation owner, I work a matter on /escalation.</t>
        </is>
      </c>
      <c r="L138" s="3" t="inlineStr">
        <is>
          <t>status changes, action plans, review rounds and closure are offered only where the state and my role allow; closure criteria are enforced; a sensitive matter stays invisible to others.</t>
        </is>
      </c>
    </row>
    <row r="139" ht="69" customHeight="1">
      <c r="A139" s="2" t="inlineStr">
        <is>
          <t>E27-S11</t>
        </is>
      </c>
      <c r="B139" s="2" t="inlineStr">
        <is>
          <t>E27</t>
        </is>
      </c>
      <c r="C139" s="3" t="inlineStr">
        <is>
          <t>Portal write paths</t>
        </is>
      </c>
      <c r="D139" s="3" t="inlineStr">
        <is>
          <t>Phase 8 — Gaps not in the original backlog</t>
        </is>
      </c>
      <c r="E139" s="2" t="inlineStr">
        <is>
          <t>M</t>
        </is>
      </c>
      <c r="F139" s="2" t="inlineStr">
        <is>
          <t>Done</t>
        </is>
      </c>
      <c r="G139" s="3" t="inlineStr">
        <is>
          <t>approvals.request_risk_acceptance_approval and decide_risk_acceptance from /escalation; four eyes, approver role, clearance for sensitive matters; decisions waiting also listed on /escalations. escalation.tests.test_portal_actions.TestRiskAcceptanceApproval (all 9).</t>
        </is>
      </c>
      <c r="H139" s="3" t="inlineStr">
        <is>
          <t>Done 11, Partial 1</t>
        </is>
      </c>
      <c r="I139" s="3" t="inlineStr">
        <is>
          <t>P-8, P-9, P-16, P-19, P-26, E-5, E-8, E-10</t>
        </is>
      </c>
      <c r="J139" s="2" t="inlineStr">
        <is>
          <t>epic trace</t>
        </is>
      </c>
      <c r="K139" s="3" t="inlineStr">
        <is>
          <t>As an accountable executive, I request and decide a risk acceptance approval on the portal.</t>
        </is>
      </c>
      <c r="L139" s="3" t="inlineStr">
        <is>
          <t>the acceptance takes effect only after an approving decision by the assignee.</t>
        </is>
      </c>
    </row>
    <row r="140" ht="56" customHeight="1">
      <c r="A140" s="2" t="inlineStr">
        <is>
          <t>E27-S12</t>
        </is>
      </c>
      <c r="B140" s="2" t="inlineStr">
        <is>
          <t>E27</t>
        </is>
      </c>
      <c r="C140" s="3" t="inlineStr">
        <is>
          <t>Portal write paths</t>
        </is>
      </c>
      <c r="D140" s="3" t="inlineStr">
        <is>
          <t>Phase 8 — Gaps not in the original backlog</t>
        </is>
      </c>
      <c r="E140" s="2" t="inlineStr">
        <is>
          <t>S</t>
        </is>
      </c>
      <c r="F140" s="2" t="inlineStr">
        <is>
          <t>Done</t>
        </is>
      </c>
      <c r="G140" s="3" t="inlineStr">
        <is>
          <t>routing.propose_pathway, set_pathway from /escalation; inactive forums refused; a matrix-routed forum cannot be removed; each save is versioned (revision.snapshot, change tracking). escalation.tests.test_portal_actions.TestPathway (all 4).</t>
        </is>
      </c>
      <c r="H140" s="3" t="inlineStr">
        <is>
          <t>Done 11, Partial 1</t>
        </is>
      </c>
      <c r="I140" s="3" t="inlineStr">
        <is>
          <t>P-8, P-9, P-16, P-19, P-26, E-5, E-8, E-10</t>
        </is>
      </c>
      <c r="J140" s="2" t="inlineStr">
        <is>
          <t>epic trace</t>
        </is>
      </c>
      <c r="K140" s="3" t="inlineStr">
        <is>
          <t>As an escalation owner, I accept or change the proposed pathway.</t>
        </is>
      </c>
      <c r="L140" s="3" t="inlineStr">
        <is>
          <t>only active forums; each change recorded.</t>
        </is>
      </c>
    </row>
    <row r="141" ht="82" customHeight="1">
      <c r="A141" s="2" t="inlineStr">
        <is>
          <t>E28-S1</t>
        </is>
      </c>
      <c r="B141" s="2" t="inlineStr">
        <is>
          <t>E28</t>
        </is>
      </c>
      <c r="C141" s="3" t="inlineStr">
        <is>
          <t>Work queues and oversight screens</t>
        </is>
      </c>
      <c r="D141" s="3" t="inlineStr">
        <is>
          <t>Phase 8 — Gaps not in the original backlog</t>
        </is>
      </c>
      <c r="E141" s="2" t="inlineStr">
        <is>
          <t>L</t>
        </is>
      </c>
      <c r="F141" s="2" t="inlineStr">
        <is>
          <t>Done</t>
        </is>
      </c>
      <c r="G141" s="3" t="inlineStr">
        <is>
          <t>/tasks; inbox.my_tasks gathers attestations, second signatures, approval and formation steps, returned requests, remediation tasks and queue items, read through permissions; answer and second-sign in place. consilium_core.tests.test_inbox.TestInboxAttestation (all 8), TestSecondSignature (all 3), TestInboxApprovalsAndReadRules (all 3), TestCountAndAccess (all 3)</t>
        </is>
      </c>
      <c r="H141" s="3" t="inlineStr">
        <is>
          <t>Done 4</t>
        </is>
      </c>
      <c r="I141" s="3" t="inlineStr">
        <is>
          <t>G-10, G-19, P-20, P-23, E-19, O-3</t>
        </is>
      </c>
      <c r="J141" s="2" t="inlineStr">
        <is>
          <t>epic trace</t>
        </is>
      </c>
      <c r="K141" s="3" t="inlineStr">
        <is>
          <t>As any user, I see and act on everything waiting on me in one inbox (CS-10).</t>
        </is>
      </c>
      <c r="L141" s="3" t="inlineStr">
        <is>
          <t>attestations, second signatures, approval steps, remediation tasks and returned requests in one list, most urgent first, each read through permissions; respond and second-sign from the list.</t>
        </is>
      </c>
    </row>
    <row r="142" ht="56" customHeight="1">
      <c r="A142" s="2" t="inlineStr">
        <is>
          <t>E28-S2</t>
        </is>
      </c>
      <c r="B142" s="2" t="inlineStr">
        <is>
          <t>E28</t>
        </is>
      </c>
      <c r="C142" s="3" t="inlineStr">
        <is>
          <t>Work queues and oversight screens</t>
        </is>
      </c>
      <c r="D142" s="3" t="inlineStr">
        <is>
          <t>Phase 8 — Gaps not in the original backlog</t>
        </is>
      </c>
      <c r="E142" s="2" t="inlineStr">
        <is>
          <t>M</t>
        </is>
      </c>
      <c r="F142" s="2" t="inlineStr">
        <is>
          <t>Done</t>
        </is>
      </c>
      <c r="G142" s="3" t="inlineStr">
        <is>
          <t>/attestation-campaigns; reviews.open_forum_campaign, attestation.generate_campaign_tasks, campaign_overview, unconfigured records named. consilium_core.tests.test_inbox.TestCampaignAdministration (all 5)</t>
        </is>
      </c>
      <c r="H142" s="3" t="inlineStr">
        <is>
          <t>Done 4</t>
        </is>
      </c>
      <c r="I142" s="3" t="inlineStr">
        <is>
          <t>G-10, G-19, P-20, P-23, E-19, O-3</t>
        </is>
      </c>
      <c r="J142" s="2" t="inlineStr">
        <is>
          <t>epic trace</t>
        </is>
      </c>
      <c r="K142" s="3" t="inlineStr">
        <is>
          <t>As a campaign owner, I administer attestation campaigns.</t>
        </is>
      </c>
      <c r="L142" s="3" t="inlineStr">
        <is>
          <t>open the annual forum campaigns, generate tasks, see completion, and see the records a campaign could not ask about.</t>
        </is>
      </c>
    </row>
    <row r="143" ht="69" customHeight="1">
      <c r="A143" s="2" t="inlineStr">
        <is>
          <t>E28-S3</t>
        </is>
      </c>
      <c r="B143" s="2" t="inlineStr">
        <is>
          <t>E28</t>
        </is>
      </c>
      <c r="C143" s="3" t="inlineStr">
        <is>
          <t>Work queues and oversight screens</t>
        </is>
      </c>
      <c r="D143" s="3" t="inlineStr">
        <is>
          <t>Phase 8 — Gaps not in the original backlog</t>
        </is>
      </c>
      <c r="E143" s="2" t="inlineStr">
        <is>
          <t>L</t>
        </is>
      </c>
      <c r="F143" s="2" t="inlineStr">
        <is>
          <t>Done</t>
        </is>
      </c>
      <c r="G143" s="3" t="inlineStr">
        <is>
          <t>/imports; importing.upload_batch, get_batch_review, exclude_row, revalidate_batch, commit_reviewed_batch, discard_batch (POST only). consilium_core.tests.test_imports_portal.TestUpload (all 5), TestReview (all 7), TestDiscard (all 1), TestMethods (all 1)</t>
        </is>
      </c>
      <c r="H143" s="3" t="inlineStr">
        <is>
          <t>Done 4</t>
        </is>
      </c>
      <c r="I143" s="3" t="inlineStr">
        <is>
          <t>G-10, G-19, P-20, P-23, E-19, O-3</t>
        </is>
      </c>
      <c r="J143" s="2" t="inlineStr">
        <is>
          <t>epic trace</t>
        </is>
      </c>
      <c r="K143" s="3" t="inlineStr">
        <is>
          <t>As an administrator, I review an import batch before it commits (CS-11).</t>
        </is>
      </c>
      <c r="L143" s="3" t="inlineStr">
        <is>
          <t>upload against a profile; rows with errors shown; exclude and revalidate; commit or discard; nothing is written before commit.</t>
        </is>
      </c>
    </row>
    <row r="144" ht="95" customHeight="1">
      <c r="A144" s="2" t="inlineStr">
        <is>
          <t>E28-S4</t>
        </is>
      </c>
      <c r="B144" s="2" t="inlineStr">
        <is>
          <t>E28</t>
        </is>
      </c>
      <c r="C144" s="3" t="inlineStr">
        <is>
          <t>Work queues and oversight screens</t>
        </is>
      </c>
      <c r="D144" s="3" t="inlineStr">
        <is>
          <t>Phase 8 — Gaps not in the original backlog</t>
        </is>
      </c>
      <c r="E144" s="2" t="inlineStr">
        <is>
          <t>M</t>
        </is>
      </c>
      <c r="F144" s="2" t="inlineStr">
        <is>
          <t>Done</t>
        </is>
      </c>
      <c r="G144" s="3" t="inlineStr">
        <is>
          <t>/reports#coverage: risk category by operating group, counted over the permission-checked REST list, empty cells highlighted; the same gaps listed on /governance-gaps (ai/gaps.coverage_gaps). consilium_core.tests.test_ai_features.TestGaps.test_forum_policy_regulatory_and_coverage_gaps_are_found (a gap shown or hidden by what the viewer may read). The in-browser matrix itself is checked only by the render sweep</t>
        </is>
      </c>
      <c r="H144" s="3" t="inlineStr">
        <is>
          <t>Done 4</t>
        </is>
      </c>
      <c r="I144" s="3" t="inlineStr">
        <is>
          <t>O-3</t>
        </is>
      </c>
      <c r="J144" s="2" t="inlineStr">
        <is>
          <t>story</t>
        </is>
      </c>
      <c r="K144" s="3" t="inlineStr">
        <is>
          <t>As a governance user, I see where forum coverage has gaps (O-3).</t>
        </is>
      </c>
      <c r="L144" s="3" t="inlineStr">
        <is>
          <t>risk category by organisation matrix with empty cells highlighted, counting only forums I may see.</t>
        </is>
      </c>
    </row>
    <row r="145" ht="95" customHeight="1">
      <c r="A145" s="2" t="inlineStr">
        <is>
          <t>E29-S1</t>
        </is>
      </c>
      <c r="B145" s="2" t="inlineStr">
        <is>
          <t>E29</t>
        </is>
      </c>
      <c r="C145" s="3" t="inlineStr">
        <is>
          <t>Notification delivery, reminders and service levels</t>
        </is>
      </c>
      <c r="D145" s="3" t="inlineStr">
        <is>
          <t>Phase 8 — Gaps not in the original backlog</t>
        </is>
      </c>
      <c r="E145" s="2" t="inlineStr">
        <is>
          <t>M</t>
        </is>
      </c>
      <c r="F145" s="2" t="inlineStr">
        <is>
          <t>Done</t>
        </is>
      </c>
      <c r="G145" s="3" t="inlineStr">
        <is>
          <t>email adapter over the framework mail queue, or over Microsoft Graph (E36-S5); unavailable with no outgoing account (falls back to RECORD); opted-out or disabled recipients recorded as suppressed; hourly notification.retry_failed. consilium_core.tests.test_notification_templates.TestEventApi (all 10), TestEmailRetry (all 3). Real SMTP or a real Graph tenant is unexercised (needs the target)</t>
        </is>
      </c>
      <c r="H145" s="3" t="inlineStr">
        <is>
          <t>Done 5, Partial 1</t>
        </is>
      </c>
      <c r="I145" s="3" t="inlineStr">
        <is>
          <t>G-14, P-6, P-7, P-10, P-11, P-14, E-7, E-9, E-11, E-13, E-17, O-4, O-7</t>
        </is>
      </c>
      <c r="J145" s="2" t="inlineStr">
        <is>
          <t>epic trace</t>
        </is>
      </c>
      <c r="K145" s="3" t="inlineStr">
        <is>
          <t>As a recipient, I receive notifications by email.</t>
        </is>
      </c>
      <c r="L145" s="3" t="inlineStr">
        <is>
          <t>an email adapter over the framework's mail queue; the channel reports itself unavailable with no outgoing account; a refused recipient is recorded as suppressed; failures retry.</t>
        </is>
      </c>
    </row>
    <row r="146" ht="95" customHeight="1">
      <c r="A146" s="2" t="inlineStr">
        <is>
          <t>E29-S2</t>
        </is>
      </c>
      <c r="B146" s="2" t="inlineStr">
        <is>
          <t>E29</t>
        </is>
      </c>
      <c r="C146" s="3" t="inlineStr">
        <is>
          <t>Notification delivery, reminders and service levels</t>
        </is>
      </c>
      <c r="D146" s="3" t="inlineStr">
        <is>
          <t>Phase 8 — Gaps not in the original backlog</t>
        </is>
      </c>
      <c r="E146" s="2" t="inlineStr">
        <is>
          <t>M</t>
        </is>
      </c>
      <c r="F146" s="2" t="inlineStr">
        <is>
          <t>Done</t>
        </is>
      </c>
      <c r="G146" s="3" t="inlineStr">
        <is>
          <t>Notification Template per event and channel (49 seeded), Jinja with record fields; a template that does not parse or reaches for internals is refused at save; every caller raises an event through notification.notify, the policy approval-step and disbandment approval notices included. TestEventApi (all 10), TestTemplateFailures (all 5), TestTemplatePermissions (all 2), TestSeeding (all 2)</t>
        </is>
      </c>
      <c r="H146" s="3" t="inlineStr">
        <is>
          <t>Done 5, Partial 1</t>
        </is>
      </c>
      <c r="I146" s="3" t="inlineStr">
        <is>
          <t>G-14, P-6, P-7, P-10, P-11, P-14, E-7, E-9, E-11, E-13, E-17, O-4, O-7</t>
        </is>
      </c>
      <c r="J146" s="2" t="inlineStr">
        <is>
          <t>epic trace</t>
        </is>
      </c>
      <c r="K146" s="3" t="inlineStr">
        <is>
          <t>As an administrator, I edit notification wording without a deployment.</t>
        </is>
      </c>
      <c r="L146" s="3" t="inlineStr">
        <is>
          <t>a template per event and channel with record fields; a broken template is refused at save; callers raise events, not text.</t>
        </is>
      </c>
    </row>
    <row r="147" ht="108" customHeight="1">
      <c r="A147" s="2" t="inlineStr">
        <is>
          <t>E29-S3</t>
        </is>
      </c>
      <c r="B147" s="2" t="inlineStr">
        <is>
          <t>E29</t>
        </is>
      </c>
      <c r="C147" s="3" t="inlineStr">
        <is>
          <t>Notification delivery, reminders and service levels</t>
        </is>
      </c>
      <c r="D147" s="3" t="inlineStr">
        <is>
          <t>Phase 8 — Gaps not in the original backlog</t>
        </is>
      </c>
      <c r="E147" s="2" t="inlineStr">
        <is>
          <t>L</t>
        </is>
      </c>
      <c r="F147" s="2" t="inlineStr">
        <is>
          <t>Done</t>
        </is>
      </c>
      <c r="G147" s="3" t="inlineStr">
        <is>
          <t>consilium_core/reminders.py (reminders.daily, reminders.hourly in hooks.py): document reviews, review cycles, monitoring, risk-acceptance reassessment and end dates, periodic returns, forum annual reviews, action plans; Reminder Log unique key, escalation to approver or executive where defined. consilium_core.tests.test_reminders (TestDocumentReviewReminders (all 9), TestMonitoringReminders (all 2), TestEscalationReminders (all 6), TestForumReviewReminders (all 1), TestReminderLog (all 2))</t>
        </is>
      </c>
      <c r="H147" s="3" t="inlineStr">
        <is>
          <t>Done 5, Partial 1</t>
        </is>
      </c>
      <c r="I147" s="3" t="inlineStr">
        <is>
          <t>P-10, P-11, E-9, E-11</t>
        </is>
      </c>
      <c r="J147" s="2" t="inlineStr">
        <is>
          <t>story</t>
        </is>
      </c>
      <c r="K147" s="3" t="inlineStr">
        <is>
          <t>As an owner, I am reminded before and when things fall due.</t>
        </is>
      </c>
      <c r="L147" s="3" t="inlineStr">
        <is>
          <t>daily and hourly jobs remind document reviews (P-10), monitoring (P-11), risk-acceptance reassessment (E-9), periodic submissions (E-11), forum overdue reviews and action plans; each reminder is logged once per due date.</t>
        </is>
      </c>
    </row>
    <row r="148" ht="108" customHeight="1">
      <c r="A148" s="2" t="inlineStr">
        <is>
          <t>E29-S4</t>
        </is>
      </c>
      <c r="B148" s="2" t="inlineStr">
        <is>
          <t>E29</t>
        </is>
      </c>
      <c r="C148" s="3" t="inlineStr">
        <is>
          <t>Notification delivery, reminders and service levels</t>
        </is>
      </c>
      <c r="D148" s="3" t="inlineStr">
        <is>
          <t>Phase 8 — Gaps not in the original backlog</t>
        </is>
      </c>
      <c r="E148" s="2" t="inlineStr">
        <is>
          <t>M</t>
        </is>
      </c>
      <c r="F148" s="2" t="inlineStr">
        <is>
          <t>Partial</t>
        </is>
      </c>
      <c r="G148" s="3" t="inlineStr">
        <is>
          <t>consilium_core/sla.py: warning at warning_threshold_pct, time in state, clocks on governing-document lifecycle steps; time in each status shown on /escalation and /reports. consilium_core.tests.test_sla_measures (TestWarningsAndBreaches (all 7), TestTimeInState (all 8), TestGoverningDocumentSteps (all 1), TestTimeToFirstAction (all 1)). Time To First Action is measured but not shown anywhere, and no SLA Definition on the demo site uses it</t>
        </is>
      </c>
      <c r="H148" s="3" t="inlineStr">
        <is>
          <t>Done 5, Partial 1</t>
        </is>
      </c>
      <c r="I148" s="3" t="inlineStr">
        <is>
          <t>P-7, E-13</t>
        </is>
      </c>
      <c r="J148" s="2" t="inlineStr">
        <is>
          <t>story</t>
        </is>
      </c>
      <c r="K148" s="3" t="inlineStr">
        <is>
          <t>As a manager, a clock warns me before it breaches and measures time in each state (P-7, E-13).</t>
        </is>
      </c>
      <c r="L148" s="3" t="inlineStr">
        <is>
          <t>a warning at the configured percentage; time-in-state and time-to-first-action measures; clocks on policy lifecycle steps.</t>
        </is>
      </c>
    </row>
    <row r="149" ht="82" customHeight="1">
      <c r="A149" s="2" t="inlineStr">
        <is>
          <t>E29-S5</t>
        </is>
      </c>
      <c r="B149" s="2" t="inlineStr">
        <is>
          <t>E29</t>
        </is>
      </c>
      <c r="C149" s="3" t="inlineStr">
        <is>
          <t>Notification delivery, reminders and service levels</t>
        </is>
      </c>
      <c r="D149" s="3" t="inlineStr">
        <is>
          <t>Phase 8 — Gaps not in the original backlog</t>
        </is>
      </c>
      <c r="E149" s="2" t="inlineStr">
        <is>
          <t>M</t>
        </is>
      </c>
      <c r="F149" s="2" t="inlineStr">
        <is>
          <t>Done</t>
        </is>
      </c>
      <c r="G149" s="3" t="inlineStr">
        <is>
          <t>The Regulatory Requirement controller notifies the owners of every in-force document and active forum citing it, on a substantive change. consilium_core.tests.test_regulatory_change.TestRegulatoryChangeFanOut (all 6), consilium_core.tests.test_ai_features.TestRegulatory.test_recording_a_change_saves_through_the_controller_and_its_fan_out</t>
        </is>
      </c>
      <c r="H149" s="3" t="inlineStr">
        <is>
          <t>Done 5, Partial 1</t>
        </is>
      </c>
      <c r="I149" s="3" t="inlineStr">
        <is>
          <t>P-6, O-7</t>
        </is>
      </c>
      <c r="J149" s="2" t="inlineStr">
        <is>
          <t>story</t>
        </is>
      </c>
      <c r="K149" s="3" t="inlineStr">
        <is>
          <t>As a document or forum owner, I am told when a regulatory requirement I cite changes (P-6, O-7).</t>
        </is>
      </c>
      <c r="L149" s="3" t="inlineStr">
        <is>
          <t>a change to a Regulatory Requirement notifies the owners of every document and forum citing it.</t>
        </is>
      </c>
    </row>
    <row r="150" ht="69" customHeight="1">
      <c r="A150" s="2" t="inlineStr">
        <is>
          <t>E29-S6</t>
        </is>
      </c>
      <c r="B150" s="2" t="inlineStr">
        <is>
          <t>E29</t>
        </is>
      </c>
      <c r="C150" s="3" t="inlineStr">
        <is>
          <t>Notification delivery, reminders and service levels</t>
        </is>
      </c>
      <c r="D150" s="3" t="inlineStr">
        <is>
          <t>Phase 8 — Gaps not in the original backlog</t>
        </is>
      </c>
      <c r="E150" s="2" t="inlineStr">
        <is>
          <t>S</t>
        </is>
      </c>
      <c r="F150" s="2" t="inlineStr">
        <is>
          <t>Done</t>
        </is>
      </c>
      <c r="G150" s="3" t="inlineStr">
        <is>
          <t>routing.forum_participants resolves chair, secretary and attesting seats (and live delegates) as at today; resolution.breach_recipients includes them and stamps notified_on; "Who a notice reaches" on /escalation. escalation.tests.test_participants.TestPathwayParticipants (all 5).</t>
        </is>
      </c>
      <c r="H150" s="3" t="inlineStr">
        <is>
          <t>Done 5, Partial 1</t>
        </is>
      </c>
      <c r="I150" s="3" t="inlineStr">
        <is>
          <t>E-7</t>
        </is>
      </c>
      <c r="J150" s="2" t="inlineStr">
        <is>
          <t>story</t>
        </is>
      </c>
      <c r="K150" s="3" t="inlineStr">
        <is>
          <t>As a committee secretary, I am told when an escalation names my forum on its pathway (E-7).</t>
        </is>
      </c>
      <c r="L150" s="3" t="inlineStr">
        <is>
          <t>breach and material-entity notices reach the secretary, chair and attesting members of each pathway forum, from membership as at today.</t>
        </is>
      </c>
    </row>
    <row r="151" ht="69" customHeight="1">
      <c r="A151" s="2" t="inlineStr">
        <is>
          <t>E30-S1</t>
        </is>
      </c>
      <c r="B151" s="2" t="inlineStr">
        <is>
          <t>E30</t>
        </is>
      </c>
      <c r="C151" s="3" t="inlineStr">
        <is>
          <t>Record integrity and handling</t>
        </is>
      </c>
      <c r="D151" s="3" t="inlineStr">
        <is>
          <t>Phase 8 — Gaps not in the original backlog</t>
        </is>
      </c>
      <c r="E151" s="2" t="inlineStr">
        <is>
          <t>M</t>
        </is>
      </c>
      <c r="F151" s="2" t="inlineStr">
        <is>
          <t>Done</t>
        </is>
      </c>
      <c r="G151" s="3" t="inlineStr">
        <is>
          <t>consilium_core/revision.py snapshot is registered as on_update for Governance Forum and Escalation Matter. revision.history and revert are called from the revision panels on /forum and /escalation. consilium_core.test_revision.TestMatterRevision, TestForumRevision (demo: FRM-2026-00010 reverted)</t>
        </is>
      </c>
      <c r="H151" s="3" t="inlineStr">
        <is>
          <t>Done 6</t>
        </is>
      </c>
      <c r="I151" s="3" t="inlineStr">
        <is>
          <t>G-9, E-12</t>
        </is>
      </c>
      <c r="J151" s="2" t="inlineStr">
        <is>
          <t>story</t>
        </is>
      </c>
      <c r="K151" s="3" t="inlineStr">
        <is>
          <t>As a record owner, I revert a forum or an escalation to an earlier revision (G-9, E-12).</t>
        </is>
      </c>
      <c r="L151" s="3" t="inlineStr">
        <is>
          <t>every save keeps a revision; revert writes a new revision with a required reason; offered from the history on /forum and /escalation.</t>
        </is>
      </c>
    </row>
    <row r="152" ht="56" customHeight="1">
      <c r="A152" s="2" t="inlineStr">
        <is>
          <t>E30-S2</t>
        </is>
      </c>
      <c r="B152" s="2" t="inlineStr">
        <is>
          <t>E30</t>
        </is>
      </c>
      <c r="C152" s="3" t="inlineStr">
        <is>
          <t>Record integrity and handling</t>
        </is>
      </c>
      <c r="D152" s="3" t="inlineStr">
        <is>
          <t>Phase 8 — Gaps not in the original backlog</t>
        </is>
      </c>
      <c r="E152" s="2" t="inlineStr">
        <is>
          <t>L</t>
        </is>
      </c>
      <c r="F152" s="2" t="inlineStr">
        <is>
          <t>Done</t>
        </is>
      </c>
      <c r="G152" s="3" t="inlineStr">
        <is>
          <t>policy/handling.py is registered in hooks.py (has_permission and permission_query_conditions for Governing Document and Document Version; File.before_insert). policy.test_handling.TestVisibility, TestActions, TestHandlingChanges, TestVersionHooks</t>
        </is>
      </c>
      <c r="H152" s="3" t="inlineStr">
        <is>
          <t>Done 6</t>
        </is>
      </c>
      <c r="I152" s="3" t="inlineStr">
        <is>
          <t>P-1, P-13, P-19</t>
        </is>
      </c>
      <c r="J152" s="2" t="inlineStr">
        <is>
          <t>story</t>
        </is>
      </c>
      <c r="K152" s="3" t="inlineStr">
        <is>
          <t>As a security reviewer, confidential and restricted documents are enforced, not only flagged (P-1, P-13, P-19).</t>
        </is>
      </c>
      <c r="L152" s="3" t="inlineStr">
        <is>
          <t>read, list, download, print and share are refused per the handling flags on every path, attachments included; tests go through the API.</t>
        </is>
      </c>
    </row>
    <row r="153" ht="43" customHeight="1">
      <c r="A153" s="2" t="inlineStr">
        <is>
          <t>E30-S3</t>
        </is>
      </c>
      <c r="B153" s="2" t="inlineStr">
        <is>
          <t>E30</t>
        </is>
      </c>
      <c r="C153" s="3" t="inlineStr">
        <is>
          <t>Record integrity and handling</t>
        </is>
      </c>
      <c r="D153" s="3" t="inlineStr">
        <is>
          <t>Phase 8 — Gaps not in the original backlog</t>
        </is>
      </c>
      <c r="E153" s="2" t="inlineStr">
        <is>
          <t>M</t>
        </is>
      </c>
      <c r="F153" s="2" t="inlineStr">
        <is>
          <t>Done</t>
        </is>
      </c>
      <c r="G153" s="3" t="inlineStr">
        <is>
          <t>/document-view and handling.version_body (inline, no-store, watermark on Restricted), linked from the version table on /policy. test_handling.TestViewerPage, TestVersionBody</t>
        </is>
      </c>
      <c r="H153" s="3" t="inlineStr">
        <is>
          <t>Done 6</t>
        </is>
      </c>
      <c r="I153" s="3" t="inlineStr">
        <is>
          <t>G-9, P-1, P-13, P-15, P-19, P-24, P-25, E-12</t>
        </is>
      </c>
      <c r="J153" s="2" t="inlineStr">
        <is>
          <t>epic trace</t>
        </is>
      </c>
      <c r="K153" s="3" t="inlineStr">
        <is>
          <t>As a reader, I view a document in the portal without downloading it.</t>
        </is>
      </c>
      <c r="L153" s="3" t="inlineStr">
        <is>
          <t>the current version body renders in a view-only page; download and print are offered only where the flags allow.</t>
        </is>
      </c>
    </row>
    <row r="154" ht="43" customHeight="1">
      <c r="A154" s="2" t="inlineStr">
        <is>
          <t>E30-S4</t>
        </is>
      </c>
      <c r="B154" s="2" t="inlineStr">
        <is>
          <t>E30</t>
        </is>
      </c>
      <c r="C154" s="3" t="inlineStr">
        <is>
          <t>Record integrity and handling</t>
        </is>
      </c>
      <c r="D154" s="3" t="inlineStr">
        <is>
          <t>Phase 8 — Gaps not in the original backlog</t>
        </is>
      </c>
      <c r="E154" s="2" t="inlineStr">
        <is>
          <t>S</t>
        </is>
      </c>
      <c r="F154" s="2" t="inlineStr">
        <is>
          <t>Done</t>
        </is>
      </c>
      <c r="G154" s="3" t="inlineStr">
        <is>
          <t>policy/naming.py. policy.test_naming_glossary.TestNamingPattern, TestNamingEnforcement</t>
        </is>
      </c>
      <c r="H154" s="3" t="inlineStr">
        <is>
          <t>Done 6</t>
        </is>
      </c>
      <c r="I154" s="3" t="inlineStr">
        <is>
          <t>P-15</t>
        </is>
      </c>
      <c r="J154" s="2" t="inlineStr">
        <is>
          <t>story</t>
        </is>
      </c>
      <c r="K154" s="3" t="inlineStr">
        <is>
          <t>As the policy office, document names follow the template's naming convention (P-15).</t>
        </is>
      </c>
      <c r="L154" s="3" t="inlineStr">
        <is>
          <t>the name is checked against the pattern at save and at intake, with the expected form in the message.</t>
        </is>
      </c>
    </row>
    <row r="155" ht="56" customHeight="1">
      <c r="A155" s="2" t="inlineStr">
        <is>
          <t>E30-S5</t>
        </is>
      </c>
      <c r="B155" s="2" t="inlineStr">
        <is>
          <t>E30</t>
        </is>
      </c>
      <c r="C155" s="3" t="inlineStr">
        <is>
          <t>Record integrity and handling</t>
        </is>
      </c>
      <c r="D155" s="3" t="inlineStr">
        <is>
          <t>Phase 8 — Gaps not in the original backlog</t>
        </is>
      </c>
      <c r="E155" s="2" t="inlineStr">
        <is>
          <t>M</t>
        </is>
      </c>
      <c r="F155" s="2" t="inlineStr">
        <is>
          <t>Done</t>
        </is>
      </c>
      <c r="G155" s="3" t="inlineStr">
        <is>
          <t>The enforcement validator runs on save and on upload; glossary.in_context feeds /policy and /document-view. test_naming_glossary.TestGlossaryEnforcement, policy.test_wave3.TestGlossaryOnThePage</t>
        </is>
      </c>
      <c r="H155" s="3" t="inlineStr">
        <is>
          <t>Done 6</t>
        </is>
      </c>
      <c r="I155" s="3" t="inlineStr">
        <is>
          <t>P-24</t>
        </is>
      </c>
      <c r="J155" s="2" t="inlineStr">
        <is>
          <t>story</t>
        </is>
      </c>
      <c r="K155" s="3" t="inlineStr">
        <is>
          <t>As the policy office, only approved glossary terms are used (P-24).</t>
        </is>
      </c>
      <c r="L155" s="3" t="inlineStr">
        <is>
          <t>text is checked against terms marked for enforcement and their synonyms; definitions are shown in context.</t>
        </is>
      </c>
    </row>
    <row r="156" ht="43" customHeight="1">
      <c r="A156" s="2" t="inlineStr">
        <is>
          <t>E30-S6</t>
        </is>
      </c>
      <c r="B156" s="2" t="inlineStr">
        <is>
          <t>E30</t>
        </is>
      </c>
      <c r="C156" s="3" t="inlineStr">
        <is>
          <t>Record integrity and handling</t>
        </is>
      </c>
      <c r="D156" s="3" t="inlineStr">
        <is>
          <t>Phase 8 — Gaps not in the original backlog</t>
        </is>
      </c>
      <c r="E156" s="2" t="inlineStr">
        <is>
          <t>S</t>
        </is>
      </c>
      <c r="F156" s="2" t="inlineStr">
        <is>
          <t>Done</t>
        </is>
      </c>
      <c r="G156" s="3" t="inlineStr">
        <is>
          <t>GoverningDocument.validate runs the gates on every phase change. policy.test_regressions.TestGatesOnEveryRoute</t>
        </is>
      </c>
      <c r="H156" s="3" t="inlineStr">
        <is>
          <t>Done 6</t>
        </is>
      </c>
      <c r="I156" s="3" t="inlineStr">
        <is>
          <t>P-25</t>
        </is>
      </c>
      <c r="J156" s="2" t="inlineStr">
        <is>
          <t>story</t>
        </is>
      </c>
      <c r="K156" s="3" t="inlineStr">
        <is>
          <t>As a compliance officer, no route publishes past a failing gate (P-25).</t>
        </is>
      </c>
      <c r="L156" s="3" t="inlineStr">
        <is>
          <t>the desk Workflow menu, a direct write and the lifecycle action are all refused; a written exception still works.</t>
        </is>
      </c>
    </row>
    <row r="157" ht="82" customHeight="1">
      <c r="A157" s="2" t="inlineStr">
        <is>
          <t>E31-S1</t>
        </is>
      </c>
      <c r="B157" s="2" t="inlineStr">
        <is>
          <t>E31</t>
        </is>
      </c>
      <c r="C157" s="3" t="inlineStr">
        <is>
          <t>Product identity, scope and help</t>
        </is>
      </c>
      <c r="D157" s="3" t="inlineStr">
        <is>
          <t>Phase 8 — Gaps not in the original backlog</t>
        </is>
      </c>
      <c r="E157" s="2" t="inlineStr">
        <is>
          <t>M</t>
        </is>
      </c>
      <c r="F157" s="2" t="inlineStr">
        <is>
          <t>Done</t>
        </is>
      </c>
      <c r="G157" s="3" t="inlineStr">
        <is>
          <t>Portal Branding and consilium_core/branding.py (after-migrate, template methods) carry name, logo, colours, typeface and banner to the portal and the framework's sign-in, workspace and tab. consilium_core.tests.test_branding.TestGetBrand (all 6), TestBrandStyle (all 5), TestFrameworkBranding (all 5), TestAssetUrl (all 3)</t>
        </is>
      </c>
      <c r="H157" s="3" t="inlineStr">
        <is>
          <t>Done 4</t>
        </is>
      </c>
      <c r="I157" s="3" t="inlineStr">
        <is>
          <t>O-1</t>
        </is>
      </c>
      <c r="J157" s="2" t="inlineStr">
        <is>
          <t>epic trace</t>
        </is>
      </c>
      <c r="K157" s="3" t="inlineStr">
        <is>
          <t>As a deploying organisation, I brand the portal as our own.</t>
        </is>
      </c>
      <c r="L157" s="3" t="inlineStr">
        <is>
          <t>name, logo, colours, typeface and banner are data on one record and reach the portal and the framework's sign-in, workspace and browser tab; no brand is committed to the repository.</t>
        </is>
      </c>
    </row>
    <row r="158" ht="56" customHeight="1">
      <c r="A158" s="2" t="inlineStr">
        <is>
          <t>E31-S2</t>
        </is>
      </c>
      <c r="B158" s="2" t="inlineStr">
        <is>
          <t>E31</t>
        </is>
      </c>
      <c r="C158" s="3" t="inlineStr">
        <is>
          <t>Product identity, scope and help</t>
        </is>
      </c>
      <c r="D158" s="3" t="inlineStr">
        <is>
          <t>Phase 8 — Gaps not in the original backlog</t>
        </is>
      </c>
      <c r="E158" s="2" t="inlineStr">
        <is>
          <t>S</t>
        </is>
      </c>
      <c r="F158" s="2" t="inlineStr">
        <is>
          <t>Done</t>
        </is>
      </c>
      <c r="G158" s="3" t="inlineStr">
        <is>
          <t>branding.apply_framework_branding sets every framework fallback. consilium_core.tests.test_branding.TestFrameworkBranding (all 5); scripts/ui_regression.py framework-branding check (274 passed)</t>
        </is>
      </c>
      <c r="H158" s="3" t="inlineStr">
        <is>
          <t>Done 4</t>
        </is>
      </c>
      <c r="I158" s="3" t="inlineStr">
        <is>
          <t>O-1</t>
        </is>
      </c>
      <c r="J158" s="2" t="inlineStr">
        <is>
          <t>epic trace</t>
        </is>
      </c>
      <c r="K158" s="3" t="inlineStr">
        <is>
          <t>As a user, I never see the underlying framework's name.</t>
        </is>
      </c>
      <c r="L158" s="3" t="inlineStr">
        <is>
          <t>no framework name or logo on any page or on sign-in.</t>
        </is>
      </c>
    </row>
    <row r="159" ht="69" customHeight="1">
      <c r="A159" s="2" t="inlineStr">
        <is>
          <t>E31-S3</t>
        </is>
      </c>
      <c r="B159" s="2" t="inlineStr">
        <is>
          <t>E31</t>
        </is>
      </c>
      <c r="C159" s="3" t="inlineStr">
        <is>
          <t>Product identity, scope and help</t>
        </is>
      </c>
      <c r="D159" s="3" t="inlineStr">
        <is>
          <t>Phase 8 — Gaps not in the original backlog</t>
        </is>
      </c>
      <c r="E159" s="2" t="inlineStr">
        <is>
          <t>M</t>
        </is>
      </c>
      <c r="F159" s="2" t="inlineStr">
        <is>
          <t>Done</t>
        </is>
      </c>
      <c r="G159" s="3" t="inlineStr">
        <is>
          <t>consilium_core/scope.py (workspaces by role, module profile that blocks out-of-scope modules for new everyday users) and website_redirects in hooks.py. consilium_core.tests.test_scope.TestWorkspaces (all 6), TestModuleProfile (all 5), TestWebsiteRedirects (all 4)</t>
        </is>
      </c>
      <c r="H159" s="3" t="inlineStr">
        <is>
          <t>Done 4</t>
        </is>
      </c>
      <c r="I159" s="3" t="inlineStr">
        <is>
          <t>O-1</t>
        </is>
      </c>
      <c r="J159" s="2" t="inlineStr">
        <is>
          <t>epic trace</t>
        </is>
      </c>
      <c r="K159" s="3" t="inlineStr">
        <is>
          <t>As an everyday user, I see only what this platform is for.</t>
        </is>
      </c>
      <c r="L159" s="3" t="inlineStr">
        <is>
          <t>out-of-scope framework modules, workspaces and website pages are hidden or redirected; the platform administrator keeps them.</t>
        </is>
      </c>
    </row>
    <row r="160" ht="160" customHeight="1">
      <c r="A160" s="2" t="inlineStr">
        <is>
          <t>E31-S4</t>
        </is>
      </c>
      <c r="B160" s="2" t="inlineStr">
        <is>
          <t>E31</t>
        </is>
      </c>
      <c r="C160" s="3" t="inlineStr">
        <is>
          <t>Product identity, scope and help</t>
        </is>
      </c>
      <c r="D160" s="3" t="inlineStr">
        <is>
          <t>Phase 8 — Gaps not in the original backlog</t>
        </is>
      </c>
      <c r="E160" s="2" t="inlineStr">
        <is>
          <t>L</t>
        </is>
      </c>
      <c r="F160" s="2" t="inlineStr">
        <is>
          <t>Done</t>
        </is>
      </c>
      <c r="G160" s="3" t="inlineStr">
        <is>
          <t>consilium_core/assistant/: built-in offline answers per page and permission, drawn from the page map, the glossary and the illustrated guide chapters (administration chapters for administrators only), with citations; append-only question log with an hourly limit; optional endpoint off by default with fallback. The AI prompt treats access findings as authoritative only for the actions they name. Answers with citations through an OpenAI-compatible provider on the demo site. consilium_core.tests.test_assistant (TestBuiltInAnswers (all 12), TestRecordAwareness (all 6), TestAdminDocumentation (all 2), TestAuditAndLimits (all 4), TestSettings (all 4), TestAIMode (all 8)); browser journey help-assistant</t>
        </is>
      </c>
      <c r="H160" s="3" t="inlineStr">
        <is>
          <t>Done 4</t>
        </is>
      </c>
      <c r="I160" s="3" t="inlineStr">
        <is>
          <t>O-1</t>
        </is>
      </c>
      <c r="J160" s="2" t="inlineStr">
        <is>
          <t>epic trace</t>
        </is>
      </c>
      <c r="K160" s="3" t="inlineStr">
        <is>
          <t>As a user, I ask the portal how to do something here.</t>
        </is>
      </c>
      <c r="L160" s="3" t="inlineStr">
        <is>
          <t>built-in offline answers per page and permission; never reveals a record I cannot read; every question logged append-only with an hourly limit; an optional AI endpoint, off by default, falls back to the built-in answer.</t>
        </is>
      </c>
    </row>
    <row r="161" ht="69" customHeight="1">
      <c r="A161" s="2" t="inlineStr">
        <is>
          <t>E32-S1</t>
        </is>
      </c>
      <c r="B161" s="2" t="inlineStr">
        <is>
          <t>E32</t>
        </is>
      </c>
      <c r="C161" s="3" t="inlineStr">
        <is>
          <t>Verification and demonstration</t>
        </is>
      </c>
      <c r="D161" s="3" t="inlineStr">
        <is>
          <t>Phase 8 — Gaps not in the original backlog</t>
        </is>
      </c>
      <c r="E161" s="2" t="inlineStr">
        <is>
          <t>M</t>
        </is>
      </c>
      <c r="F161" s="2" t="inlineStr">
        <is>
          <t>Done</t>
        </is>
      </c>
      <c r="G161" s="3" t="inlineStr">
        <is>
          <t>Defects fixed and pinned: governance, escalation and policy test_regressions.py (e.g. governance.tests.test_regressions.TestOverdueReviews, policy.tests.test_regressions.TestReopening), consilium_core.tests.test_attestation.TestUnconfiguredRecordsDoNotStopACampaign (all 3)</t>
        </is>
      </c>
      <c r="H161" s="3" t="inlineStr">
        <is>
          <t>Done 6</t>
        </is>
      </c>
      <c r="I161" s="3" t="inlineStr"/>
      <c r="J161" s="2" t="inlineStr">
        <is>
          <t>none</t>
        </is>
      </c>
      <c r="K161" s="3" t="inlineStr">
        <is>
          <t>As an engineer, defects found by loading realistic data are fixed and pinned.</t>
        </is>
      </c>
      <c r="L161" s="3" t="inlineStr">
        <is>
          <t>each defect has a test that failed before the fix.</t>
        </is>
      </c>
    </row>
    <row r="162" ht="43" customHeight="1">
      <c r="A162" s="2" t="inlineStr">
        <is>
          <t>E32-S2</t>
        </is>
      </c>
      <c r="B162" s="2" t="inlineStr">
        <is>
          <t>E32</t>
        </is>
      </c>
      <c r="C162" s="3" t="inlineStr">
        <is>
          <t>Verification and demonstration</t>
        </is>
      </c>
      <c r="D162" s="3" t="inlineStr">
        <is>
          <t>Phase 8 — Gaps not in the original backlog</t>
        </is>
      </c>
      <c r="E162" s="2" t="inlineStr">
        <is>
          <t>S</t>
        </is>
      </c>
      <c r="F162" s="2" t="inlineStr">
        <is>
          <t>Done</t>
        </is>
      </c>
      <c r="G162" s="3" t="inlineStr">
        <is>
          <t>consilium-test.localhost with its own database (consilium_test, allow_tests); the demo site holds no test rows</t>
        </is>
      </c>
      <c r="H162" s="3" t="inlineStr">
        <is>
          <t>Done 6</t>
        </is>
      </c>
      <c r="I162" s="3" t="inlineStr"/>
      <c r="J162" s="2" t="inlineStr">
        <is>
          <t>none</t>
        </is>
      </c>
      <c r="K162" s="3" t="inlineStr">
        <is>
          <t>As an engineer, tests run on a site that holds no demonstration data.</t>
        </is>
      </c>
      <c r="L162" s="3" t="inlineStr">
        <is>
          <t>a separate site and database with tests allowed.</t>
        </is>
      </c>
    </row>
    <row r="163" ht="43" customHeight="1">
      <c r="A163" s="2" t="inlineStr">
        <is>
          <t>E32-S3</t>
        </is>
      </c>
      <c r="B163" s="2" t="inlineStr">
        <is>
          <t>E32</t>
        </is>
      </c>
      <c r="C163" s="3" t="inlineStr">
        <is>
          <t>Verification and demonstration</t>
        </is>
      </c>
      <c r="D163" s="3" t="inlineStr">
        <is>
          <t>Phase 8 — Gaps not in the original backlog</t>
        </is>
      </c>
      <c r="E163" s="2" t="inlineStr">
        <is>
          <t>M</t>
        </is>
      </c>
      <c r="F163" s="2" t="inlineStr">
        <is>
          <t>Done</t>
        </is>
      </c>
      <c r="G163" s="3" t="inlineStr">
        <is>
          <t>scripts/ui_regression.py: 274 passed, 0 failed on the final demo site; also run inside verify.sh</t>
        </is>
      </c>
      <c r="H163" s="3" t="inlineStr">
        <is>
          <t>Done 6</t>
        </is>
      </c>
      <c r="I163" s="3" t="inlineStr"/>
      <c r="J163" s="2" t="inlineStr">
        <is>
          <t>none</t>
        </is>
      </c>
      <c r="K163" s="3" t="inlineStr">
        <is>
          <t>As an engineer, a sweep catches a screen that no longer renders.</t>
        </is>
      </c>
      <c r="L163" s="3" t="inlineStr">
        <is>
          <t>every portal page renders for an administrator and refuses a guest; links and assets resolve; every entity list reads; scripts parse; no framework branding.</t>
        </is>
      </c>
    </row>
    <row r="164" ht="69" customHeight="1">
      <c r="A164" s="2" t="inlineStr">
        <is>
          <t>E32-S4</t>
        </is>
      </c>
      <c r="B164" s="2" t="inlineStr">
        <is>
          <t>E32</t>
        </is>
      </c>
      <c r="C164" s="3" t="inlineStr">
        <is>
          <t>Verification and demonstration</t>
        </is>
      </c>
      <c r="D164" s="3" t="inlineStr">
        <is>
          <t>Phase 8 — Gaps not in the original backlog</t>
        </is>
      </c>
      <c r="E164" s="2" t="inlineStr">
        <is>
          <t>M</t>
        </is>
      </c>
      <c r="F164" s="2" t="inlineStr">
        <is>
          <t>Done</t>
        </is>
      </c>
      <c r="G164" s="3" t="inlineStr">
        <is>
          <t>deploy/demo_data.py, idempotent, generic @demo.example personas; 14 forums, 15 governing documents, 15 matters, 67 meetings on the demo site; deploy/demo_logins.py issues random per-run passwords into a file it refuses to write inside the repository; the platform-rules sanitization check</t>
        </is>
      </c>
      <c r="H164" s="3" t="inlineStr">
        <is>
          <t>Done 6</t>
        </is>
      </c>
      <c r="I164" s="3" t="inlineStr"/>
      <c r="J164" s="2" t="inlineStr">
        <is>
          <t>none</t>
        </is>
      </c>
      <c r="K164" s="3" t="inlineStr">
        <is>
          <t>As a demonstrator, the system is loaded with realistic, generic data.</t>
        </is>
      </c>
      <c r="L164" s="3" t="inlineStr">
        <is>
          <t>an idempotent loader; every requirement has a demonstration record; generic personas only.</t>
        </is>
      </c>
    </row>
    <row r="165" ht="121" customHeight="1">
      <c r="A165" s="2" t="inlineStr">
        <is>
          <t>E32-S5</t>
        </is>
      </c>
      <c r="B165" s="2" t="inlineStr">
        <is>
          <t>E32</t>
        </is>
      </c>
      <c r="C165" s="3" t="inlineStr">
        <is>
          <t>Verification and demonstration</t>
        </is>
      </c>
      <c r="D165" s="3" t="inlineStr">
        <is>
          <t>Phase 8 — Gaps not in the original backlog</t>
        </is>
      </c>
      <c r="E165" s="2" t="inlineStr">
        <is>
          <t>M</t>
        </is>
      </c>
      <c r="F165" s="2" t="inlineStr">
        <is>
          <t>Done</t>
        </is>
      </c>
      <c r="G165" s="3" t="inlineStr">
        <is>
          <t>The onboarding guide in docs/guides/: chapters 00–10 and a glossary, task-based and written for business users, with chapter 8 by role and chapter 9 on administration without code. Every screen is shown with numbered callouts. It is built by scripts/build_guides.sh into Consilium-Onboarding-Guide (PDF and DOCX, 217 pages, 185 screenshots) outside the repository. docs/USER-GUIDE.md and docs/ADMIN-GUIDE.md are the quick starts, and the technical material is in docs/OPERATIONS.md; shipped to the help assistant by the bundle</t>
        </is>
      </c>
      <c r="H165" s="3" t="inlineStr">
        <is>
          <t>Done 6</t>
        </is>
      </c>
      <c r="I165" s="3" t="inlineStr"/>
      <c r="J165" s="2" t="inlineStr">
        <is>
          <t>none</t>
        </is>
      </c>
      <c r="K165" s="3" t="inlineStr">
        <is>
          <t>As a user or administrator, I have a guide.</t>
        </is>
      </c>
      <c r="L165" s="3" t="inlineStr">
        <is>
          <t>task-based guides for both audiences, matching the screens.</t>
        </is>
      </c>
    </row>
    <row r="166" ht="69" customHeight="1">
      <c r="A166" s="2" t="inlineStr">
        <is>
          <t>E32-S6</t>
        </is>
      </c>
      <c r="B166" s="2" t="inlineStr">
        <is>
          <t>E32</t>
        </is>
      </c>
      <c r="C166" s="3" t="inlineStr">
        <is>
          <t>Verification and demonstration</t>
        </is>
      </c>
      <c r="D166" s="3" t="inlineStr">
        <is>
          <t>Phase 8 — Gaps not in the original backlog</t>
        </is>
      </c>
      <c r="E166" s="2" t="inlineStr">
        <is>
          <t>M</t>
        </is>
      </c>
      <c r="F166" s="2" t="inlineStr">
        <is>
          <t>Done</t>
        </is>
      </c>
      <c r="G166" s="3" t="inlineStr">
        <is>
          <t>consilium_core.tests.test_portal_pages: TestEveryPageIsCovered (all 1), TestAdministrator (all 3), TestSignedOutVisitor (all 2), TestEveryRole (all 3), TestReaderWithoutAccess (all 2), TestAddressValuesAreEscaped (all 1) — every www page renders its key sections and refuses a reader without access</t>
        </is>
      </c>
      <c r="H166" s="3" t="inlineStr">
        <is>
          <t>Done 6</t>
        </is>
      </c>
      <c r="I166" s="3" t="inlineStr"/>
      <c r="J166" s="2" t="inlineStr">
        <is>
          <t>none</t>
        </is>
      </c>
      <c r="K166" s="3" t="inlineStr">
        <is>
          <t>As an engineer, the suite tests every portal page.</t>
        </is>
      </c>
      <c r="L166" s="3" t="inlineStr">
        <is>
          <t>a page-context test per www page: renders, shows its key sections, refuses a reader without access.</t>
        </is>
      </c>
    </row>
    <row r="167" ht="95" customHeight="1">
      <c r="A167" s="2" t="inlineStr">
        <is>
          <t>E33-S1</t>
        </is>
      </c>
      <c r="B167" s="2" t="inlineStr">
        <is>
          <t>E33</t>
        </is>
      </c>
      <c r="C167" s="3" t="inlineStr">
        <is>
          <t>Other measured gaps</t>
        </is>
      </c>
      <c r="D167" s="3" t="inlineStr">
        <is>
          <t>Phase 8 — Gaps not in the original backlog</t>
        </is>
      </c>
      <c r="E167" s="2" t="inlineStr">
        <is>
          <t>S</t>
        </is>
      </c>
      <c r="F167" s="2" t="inlineStr">
        <is>
          <t>Done</t>
        </is>
      </c>
      <c r="G167" s="3" t="inlineStr">
        <is>
          <t>formation.approval_blockers includes charters.uncleared_challenges. Recorded on /formation-request through charters.record_charter_challenge (office only). It also blocks a favourable compliance decision. CFR-2026-00002 is held by CHT-2026-00014. governance.tests.test_governance_gaps.TestFormationCharterGate, TestStandingGate, test_wave3_governance.TestCharterChallengeOnTheRequest.</t>
        </is>
      </c>
      <c r="H167" s="3" t="inlineStr">
        <is>
          <t>Done 7, Partial 1</t>
        </is>
      </c>
      <c r="I167" s="3" t="inlineStr">
        <is>
          <t>G-7</t>
        </is>
      </c>
      <c r="J167" s="2" t="inlineStr">
        <is>
          <t>story</t>
        </is>
      </c>
      <c r="K167" s="3" t="inlineStr">
        <is>
          <t>As the governance office, an unresolved charter challenge blocks formation approval (G-7).</t>
        </is>
      </c>
      <c r="L167" s="3" t="inlineStr">
        <is>
          <t>the challenge is recorded on /formation-request and is an approval blocker until cleared.</t>
        </is>
      </c>
    </row>
    <row r="168" ht="56" customHeight="1">
      <c r="A168" s="2" t="inlineStr">
        <is>
          <t>E33-S2</t>
        </is>
      </c>
      <c r="B168" s="2" t="inlineStr">
        <is>
          <t>E33</t>
        </is>
      </c>
      <c r="C168" s="3" t="inlineStr">
        <is>
          <t>Other measured gaps</t>
        </is>
      </c>
      <c r="D168" s="3" t="inlineStr">
        <is>
          <t>Phase 8 — Gaps not in the original backlog</t>
        </is>
      </c>
      <c r="E168" s="2" t="inlineStr">
        <is>
          <t>S</t>
        </is>
      </c>
      <c r="F168" s="2" t="inlineStr">
        <is>
          <t>Done</t>
        </is>
      </c>
      <c r="G168" s="3" t="inlineStr">
        <is>
          <t>/forum Documents tab, "Take a new version" (charters.publish_charter_version: summary and body required, only a file attached to that charter, reopens the challenge; readers refused and audited). governance.tests.test_governance_gaps.TestCharterPortal.</t>
        </is>
      </c>
      <c r="H168" s="3" t="inlineStr">
        <is>
          <t>Done 7, Partial 1</t>
        </is>
      </c>
      <c r="I168" s="3" t="inlineStr">
        <is>
          <t>G-15</t>
        </is>
      </c>
      <c r="J168" s="2" t="inlineStr">
        <is>
          <t>story</t>
        </is>
      </c>
      <c r="K168" s="3" t="inlineStr">
        <is>
          <t>As a committee secretary, I take a new charter version from a screen (G-15).</t>
        </is>
      </c>
      <c r="L168" s="3" t="inlineStr">
        <is>
          <t>as minutes: a new version with a change summary.</t>
        </is>
      </c>
    </row>
    <row r="169" ht="69" customHeight="1">
      <c r="A169" s="2" t="inlineStr">
        <is>
          <t>E33-S3</t>
        </is>
      </c>
      <c r="B169" s="2" t="inlineStr">
        <is>
          <t>E33</t>
        </is>
      </c>
      <c r="C169" s="3" t="inlineStr">
        <is>
          <t>Other measured gaps</t>
        </is>
      </c>
      <c r="D169" s="3" t="inlineStr">
        <is>
          <t>Phase 8 — Gaps not in the original backlog</t>
        </is>
      </c>
      <c r="E169" s="2" t="inlineStr">
        <is>
          <t>S</t>
        </is>
      </c>
      <c r="F169" s="2" t="inlineStr">
        <is>
          <t>Done</t>
        </is>
      </c>
      <c r="G169" s="3" t="inlineStr">
        <is>
          <t>Escalations tab on /forum (inventory.forum_escalations, read through the permitted list). FRM-2026-00006 lists 8 matters, including sensitive ESC-2026-00003/00004 for cleared readers. governance.tests.test_governance_gaps.TestForumEscalations.</t>
        </is>
      </c>
      <c r="H169" s="3" t="inlineStr">
        <is>
          <t>Done 7, Partial 1</t>
        </is>
      </c>
      <c r="I169" s="3" t="inlineStr">
        <is>
          <t>O-5</t>
        </is>
      </c>
      <c r="J169" s="2" t="inlineStr">
        <is>
          <t>story</t>
        </is>
      </c>
      <c r="K169" s="3" t="inlineStr">
        <is>
          <t>As a forum member, the forum page lists the escalations on its pathway (O-5).</t>
        </is>
      </c>
      <c r="L169" s="3" t="inlineStr">
        <is>
          <t>a section on /forum, [struck through: sensitive matters excluded] sensitive matters shown only to viewers cleared to read them and never counted for others. Revised 2026-09-18: excluding them for everyone would hide from the forum's own cleared members a matter the forum is deciding.</t>
        </is>
      </c>
    </row>
    <row r="170" ht="56" customHeight="1">
      <c r="A170" s="2" t="inlineStr">
        <is>
          <t>E33-S4</t>
        </is>
      </c>
      <c r="B170" s="2" t="inlineStr">
        <is>
          <t>E33</t>
        </is>
      </c>
      <c r="C170" s="3" t="inlineStr">
        <is>
          <t>Other measured gaps</t>
        </is>
      </c>
      <c r="D170" s="3" t="inlineStr">
        <is>
          <t>Phase 8 — Gaps not in the original backlog</t>
        </is>
      </c>
      <c r="E170" s="2" t="inlineStr">
        <is>
          <t>M</t>
        </is>
      </c>
      <c r="F170" s="2" t="inlineStr">
        <is>
          <t>Done</t>
        </is>
      </c>
      <c r="G170" s="3" t="inlineStr">
        <is>
          <t>inventory.forum_map drawn on / (links only where both ends are readable). governance.tests.test_governance_gaps.TestInventoryReads.test_the_map_draws_what_the_viewer_may_see, TestPages.test_the_pages_render_with_their_new_sections.</t>
        </is>
      </c>
      <c r="H170" s="3" t="inlineStr">
        <is>
          <t>Done 7, Partial 1</t>
        </is>
      </c>
      <c r="I170" s="3" t="inlineStr">
        <is>
          <t>O-2</t>
        </is>
      </c>
      <c r="J170" s="2" t="inlineStr">
        <is>
          <t>story</t>
        </is>
      </c>
      <c r="K170" s="3" t="inlineStr">
        <is>
          <t>As a user, the home page shows the enterprise forum map (O-2).</t>
        </is>
      </c>
      <c r="L170" s="3" t="inlineStr">
        <is>
          <t>the interconnectivity graph for all forums on /.</t>
        </is>
      </c>
    </row>
    <row r="171" ht="56" customHeight="1">
      <c r="A171" s="2" t="inlineStr">
        <is>
          <t>E33-S5</t>
        </is>
      </c>
      <c r="B171" s="2" t="inlineStr">
        <is>
          <t>E33</t>
        </is>
      </c>
      <c r="C171" s="3" t="inlineStr">
        <is>
          <t>Other measured gaps</t>
        </is>
      </c>
      <c r="D171" s="3" t="inlineStr">
        <is>
          <t>Phase 8 — Gaps not in the original backlog</t>
        </is>
      </c>
      <c r="E171" s="2" t="inlineStr">
        <is>
          <t>M</t>
        </is>
      </c>
      <c r="F171" s="2" t="inlineStr">
        <is>
          <t>Done</t>
        </is>
      </c>
      <c r="G171" s="3" t="inlineStr">
        <is>
          <t>reporting.policy_sections (families, monitoring, exceptions, violations and dispositions over get_list) and reporting.export (server-side CSV, formulas neutralised) on /reports. policy.test_wave3.TestReporting (all 3)</t>
        </is>
      </c>
      <c r="H171" s="3" t="inlineStr">
        <is>
          <t>Done 7, Partial 1</t>
        </is>
      </c>
      <c r="I171" s="3" t="inlineStr">
        <is>
          <t>P-4, P-12, P-22</t>
        </is>
      </c>
      <c r="J171" s="2" t="inlineStr">
        <is>
          <t>story</t>
        </is>
      </c>
      <c r="K171" s="3" t="inlineStr">
        <is>
          <t>As the policy office, /reports covers document families, monitoring outcomes, exceptions and violations, with export (P-4, P-12, P-22).</t>
        </is>
      </c>
      <c r="L171" s="3" t="inlineStr">
        <is>
          <t>each section permission-filtered and exportable.</t>
        </is>
      </c>
    </row>
    <row r="172" ht="95" customHeight="1">
      <c r="A172" s="2" t="inlineStr">
        <is>
          <t>E33-S6</t>
        </is>
      </c>
      <c r="B172" s="2" t="inlineStr">
        <is>
          <t>E33</t>
        </is>
      </c>
      <c r="C172" s="3" t="inlineStr">
        <is>
          <t>Other measured gaps</t>
        </is>
      </c>
      <c r="D172" s="3" t="inlineStr">
        <is>
          <t>Phase 8 — Gaps not in the original backlog</t>
        </is>
      </c>
      <c r="E172" s="2" t="inlineStr">
        <is>
          <t>L</t>
        </is>
      </c>
      <c r="F172" s="2" t="inlineStr">
        <is>
          <t>Partial</t>
        </is>
      </c>
      <c r="G172" s="3" t="inlineStr">
        <is>
          <t>Assignment is configuration per type and severity: the matrix rule's route_to_role and route_to_group queue the matter, the queue is told, and a member takes it on /escalation (assignment.take_ownership). escalation.tests.test_assignment_and_timing.TestAssignmentByGroup (all 10), TestAssignmentByRole (all 1). Transitions are not configuration per type and severity: any open state may be reached from any other by the stage's role.</t>
        </is>
      </c>
      <c r="H172" s="3" t="inlineStr">
        <is>
          <t>Done 7, Partial 1</t>
        </is>
      </c>
      <c r="I172" s="3" t="inlineStr">
        <is>
          <t>E-5, E-8</t>
        </is>
      </c>
      <c r="J172" s="2" t="inlineStr">
        <is>
          <t>story</t>
        </is>
      </c>
      <c r="K172" s="3" t="inlineStr">
        <is>
          <t>As an escalation manager, matters are assigned by role or group through configurable transitions (E-5, E-8).</t>
        </is>
      </c>
      <c r="L172" s="3" t="inlineStr">
        <is>
          <t>transitions and assignment rules are configuration per type and severity.</t>
        </is>
      </c>
    </row>
    <row r="173" ht="95" customHeight="1">
      <c r="A173" s="2" t="inlineStr">
        <is>
          <t>E33-S7</t>
        </is>
      </c>
      <c r="B173" s="2" t="inlineStr">
        <is>
          <t>E33</t>
        </is>
      </c>
      <c r="C173" s="3" t="inlineStr">
        <is>
          <t>Other measured gaps</t>
        </is>
      </c>
      <c r="D173" s="3" t="inlineStr">
        <is>
          <t>Phase 8 — Gaps not in the original backlog</t>
        </is>
      </c>
      <c r="E173" s="2" t="inlineStr">
        <is>
          <t>M</t>
        </is>
      </c>
      <c r="F173" s="2" t="inlineStr">
        <is>
          <t>Done</t>
        </is>
      </c>
      <c r="G173" s="3" t="inlineStr">
        <is>
          <t>Matrix rule on systemic (demo R05-SYSTEMIC to role Head of Risk Governance and the higher forums); Time In State definition on requires_review scoped to systemic matters starts when the matter goes to the second line and stamps the review round (demo SLAC-00020 on ESC-2026-00015). escalation.tests.test_assignment_and_timing.TestSystemicRoute (all 2), TestChallengeServiceLevel (all 3).</t>
        </is>
      </c>
      <c r="H173" s="3" t="inlineStr">
        <is>
          <t>Done 7, Partial 1</t>
        </is>
      </c>
      <c r="I173" s="3" t="inlineStr">
        <is>
          <t>E-9</t>
        </is>
      </c>
      <c r="J173" s="2" t="inlineStr">
        <is>
          <t>story</t>
        </is>
      </c>
      <c r="K173" s="3" t="inlineStr">
        <is>
          <t>As a risk manager, systemic matters route to the head of enterprise risk and second-line challenge runs to a service level (E-9).</t>
        </is>
      </c>
      <c r="L173" s="3" t="inlineStr">
        <is>
          <t>a routing rule or role for systemic matters; a clock started when a review round opens.</t>
        </is>
      </c>
    </row>
    <row r="174" ht="69" customHeight="1">
      <c r="A174" s="2" t="inlineStr">
        <is>
          <t>E33-S8</t>
        </is>
      </c>
      <c r="B174" s="2" t="inlineStr">
        <is>
          <t>E33</t>
        </is>
      </c>
      <c r="C174" s="3" t="inlineStr">
        <is>
          <t>Other measured gaps</t>
        </is>
      </c>
      <c r="D174" s="3" t="inlineStr">
        <is>
          <t>Phase 8 — Gaps not in the original backlog</t>
        </is>
      </c>
      <c r="E174" s="2" t="inlineStr">
        <is>
          <t>M</t>
        </is>
      </c>
      <c r="F174" s="2" t="inlineStr">
        <is>
          <t>Done</t>
        </is>
      </c>
      <c r="G174" s="3" t="inlineStr">
        <is>
          <t>Document Disposition is written from on_update ("Review Returned" or "Review Accepted"), and the originator is told through policy.review.disposition. PDSP-00001…12 are on the demo. policy.test_wave3.TestReviewerReturn (all 4). Known limit: the reviewer's return works on the portal, not the desk</t>
        </is>
      </c>
      <c r="H174" s="3" t="inlineStr">
        <is>
          <t>Done 7, Partial 1</t>
        </is>
      </c>
      <c r="I174" s="3" t="inlineStr">
        <is>
          <t>P-26</t>
        </is>
      </c>
      <c r="J174" s="2" t="inlineStr">
        <is>
          <t>story</t>
        </is>
      </c>
      <c r="K174" s="3" t="inlineStr">
        <is>
          <t>As a drafter, a review ends in a recorded disposition and I am told (P-26).</t>
        </is>
      </c>
      <c r="L174" s="3" t="inlineStr">
        <is>
          <t>a disposition record per review round, notifying the originator.</t>
        </is>
      </c>
    </row>
    <row r="175" ht="108" customHeight="1">
      <c r="A175" s="2" t="inlineStr">
        <is>
          <t>E34-S1</t>
        </is>
      </c>
      <c r="B175" s="2" t="inlineStr">
        <is>
          <t>E34</t>
        </is>
      </c>
      <c r="C175" s="3" t="inlineStr">
        <is>
          <t>Deployment readiness</t>
        </is>
      </c>
      <c r="D175" s="3" t="inlineStr">
        <is>
          <t>Phase 9 — Deployment readiness</t>
        </is>
      </c>
      <c r="E175" s="2" t="inlineStr">
        <is>
          <t>L</t>
        </is>
      </c>
      <c r="F175" s="2" t="inlineStr">
        <is>
          <t>Partial</t>
        </is>
      </c>
      <c r="G175" s="3" t="inlineStr">
        <is>
          <t>Rehearsed on a stand-in: air-gapped Rocky Linux 9 with PostgreSQL 16; install, health 17/17, verify 14/14; the demo site's backup restored and migrated with identical counts and a 239-page UI sweep (DEPLOYMENT-READINESS §2, §4). Not run on the target operating system or its own database server; the full app suite was not run on the rehearsal host; RHEL 8 and Ubuntu 22.04 not rehearsed; the bundle must be rebuilt from the final commit and installed again</t>
        </is>
      </c>
      <c r="H175" s="3" t="inlineStr">
        <is>
          <t>Partial 6, Not started 1</t>
        </is>
      </c>
      <c r="I175" s="3" t="inlineStr"/>
      <c r="J175" s="2" t="inlineStr">
        <is>
          <t>none</t>
        </is>
      </c>
      <c r="K175" s="3" t="inlineStr">
        <is>
          <t>As a deployer, I rehearse install and migration on a target server.</t>
        </is>
      </c>
      <c r="L175" s="3" t="inlineStr">
        <is>
          <t>install and migrate on the target operating system and database server; the full suite and the health check pass; any database divergence is recorded and fixed.</t>
        </is>
      </c>
    </row>
    <row r="176" ht="69" customHeight="1">
      <c r="A176" s="2" t="inlineStr">
        <is>
          <t>E34-S2</t>
        </is>
      </c>
      <c r="B176" s="2" t="inlineStr">
        <is>
          <t>E34</t>
        </is>
      </c>
      <c r="C176" s="3" t="inlineStr">
        <is>
          <t>Deployment readiness</t>
        </is>
      </c>
      <c r="D176" s="3" t="inlineStr">
        <is>
          <t>Phase 9 — Deployment readiness</t>
        </is>
      </c>
      <c r="E176" s="2" t="inlineStr">
        <is>
          <t>M</t>
        </is>
      </c>
      <c r="F176" s="2" t="inlineStr">
        <is>
          <t>Partial</t>
        </is>
      </c>
      <c r="G176" s="3" t="inlineStr">
        <is>
          <t>Upgrade from the previous release (c2c8a91) rehearsed on Rocky 9 with upgrade.sh: no table lost a row, verify 14/14 after (DEPLOYMENT-READINESS §5). Stand-in only; rollback never exercised; the release upgraded to was the working tree of that moment, not the final commit</t>
        </is>
      </c>
      <c r="H176" s="3" t="inlineStr">
        <is>
          <t>Partial 6, Not started 1</t>
        </is>
      </c>
      <c r="I176" s="3" t="inlineStr"/>
      <c r="J176" s="2" t="inlineStr">
        <is>
          <t>none</t>
        </is>
      </c>
      <c r="K176" s="3" t="inlineStr">
        <is>
          <t>As an operator, I rehearse an upgrade from the previous release.</t>
        </is>
      </c>
      <c r="L176" s="3" t="inlineStr">
        <is>
          <t>closes E25-S5.</t>
        </is>
      </c>
    </row>
    <row r="177" ht="69" customHeight="1">
      <c r="A177" s="2" t="inlineStr">
        <is>
          <t>E34-S3</t>
        </is>
      </c>
      <c r="B177" s="2" t="inlineStr">
        <is>
          <t>E34</t>
        </is>
      </c>
      <c r="C177" s="3" t="inlineStr">
        <is>
          <t>Deployment readiness</t>
        </is>
      </c>
      <c r="D177" s="3" t="inlineStr">
        <is>
          <t>Phase 9 — Deployment readiness</t>
        </is>
      </c>
      <c r="E177" s="2" t="inlineStr">
        <is>
          <t>M</t>
        </is>
      </c>
      <c r="F177" s="2" t="inlineStr">
        <is>
          <t>Partial</t>
        </is>
      </c>
      <c r="G177" s="3" t="inlineStr">
        <is>
          <t>scripts/load_test.py, indicative only: 16 requests at 1–25 threads, 0 errors, throughput flat from 5 threads on one process (DEPLOYMENT-READINESS §7). Volume not agreed with the business; demonstration data on an emulated laptop; real numbers need the target with several web processes</t>
        </is>
      </c>
      <c r="H177" s="3" t="inlineStr">
        <is>
          <t>Partial 6, Not started 1</t>
        </is>
      </c>
      <c r="I177" s="3" t="inlineStr"/>
      <c r="J177" s="2" t="inlineStr">
        <is>
          <t>none</t>
        </is>
      </c>
      <c r="K177" s="3" t="inlineStr">
        <is>
          <t>As an operator, I know how the system performs at representative volume.</t>
        </is>
      </c>
      <c r="L177" s="3" t="inlineStr">
        <is>
          <t>list, search and dashboard response times recorded at a volume agreed with the business; closes E26-S5.</t>
        </is>
      </c>
    </row>
    <row r="178" ht="95" customHeight="1">
      <c r="A178" s="2" t="inlineStr">
        <is>
          <t>E34-S4</t>
        </is>
      </c>
      <c r="B178" s="2" t="inlineStr">
        <is>
          <t>E34</t>
        </is>
      </c>
      <c r="C178" s="3" t="inlineStr">
        <is>
          <t>Deployment readiness</t>
        </is>
      </c>
      <c r="D178" s="3" t="inlineStr">
        <is>
          <t>Phase 9 — Deployment readiness</t>
        </is>
      </c>
      <c r="E178" s="2" t="inlineStr">
        <is>
          <t>M</t>
        </is>
      </c>
      <c r="F178" s="2" t="inlineStr">
        <is>
          <t>Partial</t>
        </is>
      </c>
      <c r="G178" s="3" t="inlineStr">
        <is>
          <t>Decisions written in docs/OPERATIONS.md (certificates, ports, service accounts); systemd units in deploy/service/systemd/ with Restart and hardening, systemd-analyze verify clean and run on Rocky 9; nginx and Caddy TLS templates; tests/test_kit.py unit and proxy template tests. The organisation's CA, names and firewall decisions are open; deploy/service/windows/register-services.ps1 has never been run</t>
        </is>
      </c>
      <c r="H178" s="3" t="inlineStr">
        <is>
          <t>Partial 6, Not started 1</t>
        </is>
      </c>
      <c r="I178" s="3" t="inlineStr"/>
      <c r="J178" s="2" t="inlineStr">
        <is>
          <t>none</t>
        </is>
      </c>
      <c r="K178" s="3" t="inlineStr">
        <is>
          <t>As a deployer, certificates, ports and service accounts are decided and the services are defined.</t>
        </is>
      </c>
      <c r="L178" s="3" t="inlineStr">
        <is>
          <t>documented decisions; systemd units and Windows service definitions that restart on failure.</t>
        </is>
      </c>
    </row>
    <row r="179" ht="95" customHeight="1">
      <c r="A179" s="2" t="inlineStr">
        <is>
          <t>E34-S5</t>
        </is>
      </c>
      <c r="B179" s="2" t="inlineStr">
        <is>
          <t>E34</t>
        </is>
      </c>
      <c r="C179" s="3" t="inlineStr">
        <is>
          <t>Deployment readiness</t>
        </is>
      </c>
      <c r="D179" s="3" t="inlineStr">
        <is>
          <t>Phase 9 — Deployment readiness</t>
        </is>
      </c>
      <c r="E179" s="2" t="inlineStr">
        <is>
          <t>L</t>
        </is>
      </c>
      <c r="F179" s="2" t="inlineStr">
        <is>
          <t>Partial</t>
        </is>
      </c>
      <c r="G179" s="3" t="inlineStr">
        <is>
          <t>OIDC proven end to end against a mock provider on the stand-in, existing user matched without re-keying (E2-S4); LDAP is configuration ([sso] mode = ldap, pure-Python ldap3), not exercised. Admin → Integrations shows the redirect URI to register (E36-S6). No corporate identity provider or directory connected; protocol choice, redirect-URI registration and claims need the target</t>
        </is>
      </c>
      <c r="H179" s="3" t="inlineStr">
        <is>
          <t>Partial 6, Not started 1</t>
        </is>
      </c>
      <c r="I179" s="3" t="inlineStr"/>
      <c r="J179" s="2" t="inlineStr">
        <is>
          <t>none</t>
        </is>
      </c>
      <c r="K179" s="3" t="inlineStr">
        <is>
          <t>As an administrator, people sign in through the corporate directory.</t>
        </is>
      </c>
      <c r="L179" s="3" t="inlineStr">
        <is>
          <t>the protocol is decided (LDAP and OIDC are configuration; SAML is a separate build); existing users matched without re-keying; closes E2-S4.</t>
        </is>
      </c>
    </row>
    <row r="180" ht="56" customHeight="1">
      <c r="A180" s="2" t="inlineStr">
        <is>
          <t>E34-S6</t>
        </is>
      </c>
      <c r="B180" s="2" t="inlineStr">
        <is>
          <t>E34</t>
        </is>
      </c>
      <c r="C180" s="3" t="inlineStr">
        <is>
          <t>Deployment readiness</t>
        </is>
      </c>
      <c r="D180" s="3" t="inlineStr">
        <is>
          <t>Phase 9 — Deployment readiness</t>
        </is>
      </c>
      <c r="E180" s="2" t="inlineStr">
        <is>
          <t>M</t>
        </is>
      </c>
      <c r="F180" s="2" t="inlineStr">
        <is>
          <t>Not started</t>
        </is>
      </c>
      <c r="G180" s="3" t="inlineStr">
        <is>
          <t>deploy/install.ps1, register-services.ps1 and the RUNBOOK Windows acceptance script exist; Windows is only simulated (tests/test_compat.py, CI windows-latest toolchain job). Nothing has been installed or run on a Windows workstation</t>
        </is>
      </c>
      <c r="H180" s="3" t="inlineStr">
        <is>
          <t>Partial 6, Not started 1</t>
        </is>
      </c>
      <c r="I180" s="3" t="inlineStr"/>
      <c r="J180" s="2" t="inlineStr">
        <is>
          <t>none</t>
        </is>
      </c>
      <c r="K180" s="3" t="inlineStr">
        <is>
          <t>As a deployer, the system runs on a managed Windows workstation.</t>
        </is>
      </c>
      <c r="L180" s="3" t="inlineStr">
        <is>
          <t>the scripted install, the suite and the health check pass there; closes E25-S2.</t>
        </is>
      </c>
    </row>
    <row r="181" ht="95" customHeight="1">
      <c r="A181" s="2" t="inlineStr">
        <is>
          <t>E34-S7</t>
        </is>
      </c>
      <c r="B181" s="2" t="inlineStr">
        <is>
          <t>E34</t>
        </is>
      </c>
      <c r="C181" s="3" t="inlineStr">
        <is>
          <t>Deployment readiness</t>
        </is>
      </c>
      <c r="D181" s="3" t="inlineStr">
        <is>
          <t>Phase 9 — Deployment readiness</t>
        </is>
      </c>
      <c r="E181" s="2" t="inlineStr">
        <is>
          <t>S</t>
        </is>
      </c>
      <c r="F181" s="2" t="inlineStr">
        <is>
          <t>Partial</t>
        </is>
      </c>
      <c r="G181" s="3" t="inlineStr">
        <is>
          <t>On the Rocky 9 stand-in under systemd: one scheduler process; all 11 Consilium jobs (incl. sla.sweep, resolution.sweep_breaches, reminders.daily, reminders.hourly) made due and each run exactly once by two workers (evidence/linux-rehearsal/24-scheduler-workers.txt); install.sh enables the scheduler. Not observed on a real deployment over a real day; the scheduler is still disabled on the demo site</t>
        </is>
      </c>
      <c r="H181" s="3" t="inlineStr">
        <is>
          <t>Partial 6, Not started 1</t>
        </is>
      </c>
      <c r="I181" s="3" t="inlineStr"/>
      <c r="J181" s="2" t="inlineStr">
        <is>
          <t>none</t>
        </is>
      </c>
      <c r="K181" s="3" t="inlineStr">
        <is>
          <t>As an operator, scheduled work runs on a real deployment.</t>
        </is>
      </c>
      <c r="L181" s="3" t="inlineStr">
        <is>
          <t>exactly one scheduler process; every Consilium job shows a last execution; the SLA sweep, breach escalation and reminders observed once.</t>
        </is>
      </c>
    </row>
    <row r="182" ht="69" customHeight="1">
      <c r="A182" s="2" t="inlineStr">
        <is>
          <t>E35-S1</t>
        </is>
      </c>
      <c r="B182" s="2" t="inlineStr">
        <is>
          <t>E35</t>
        </is>
      </c>
      <c r="C182" s="3" t="inlineStr">
        <is>
          <t>Navigation, search and interface polish</t>
        </is>
      </c>
      <c r="D182" s="3" t="inlineStr">
        <is>
          <t>Phase 10 — Navigation, integrations and hand-offs</t>
        </is>
      </c>
      <c r="E182" s="2" t="inlineStr">
        <is>
          <t>M</t>
        </is>
      </c>
      <c r="F182" s="2" t="inlineStr">
        <is>
          <t>Done</t>
        </is>
      </c>
      <c r="G182" s="3" t="inlineStr">
        <is>
          <t>consilium_core/navigation.py (cns_nav, permission and role checks per item) and templates/base_portal.html. consilium_core.tests.test_navigation.TestNavigation (all 11); browser journeys menu-keyboard, phone-menu, non-admin-no-admin-nav, inbox-badge (11/11)</t>
        </is>
      </c>
      <c r="H182" s="3" t="inlineStr">
        <is>
          <t>Done 2, Partial 3</t>
        </is>
      </c>
      <c r="I182" s="3" t="inlineStr">
        <is>
          <t>G-2, P-2, E-2, O-1</t>
        </is>
      </c>
      <c r="J182" s="2" t="inlineStr">
        <is>
          <t>epic trace</t>
        </is>
      </c>
      <c r="K182" s="3" t="inlineStr">
        <is>
          <t>As a user, the header shows the areas I can use as menus of their pages.</t>
        </is>
      </c>
      <c r="L182" s="3" t="inlineStr">
        <is>
          <t>a two-row header (brand, search, text size, theme, user menu); menus Home, My work (with a count badge), Governance, Policies, Escalations, Insights and Admin; each menu a panel of sub-pages with a one-line description; a menu or item shown only to those who may use it; usable by keyboard; a slide-out menu on phones.</t>
        </is>
      </c>
    </row>
    <row r="183" ht="56" customHeight="1">
      <c r="A183" s="2" t="inlineStr">
        <is>
          <t>E35-S2</t>
        </is>
      </c>
      <c r="B183" s="2" t="inlineStr">
        <is>
          <t>E35</t>
        </is>
      </c>
      <c r="C183" s="3" t="inlineStr">
        <is>
          <t>Navigation, search and interface polish</t>
        </is>
      </c>
      <c r="D183" s="3" t="inlineStr">
        <is>
          <t>Phase 10 — Navigation, integrations and hand-offs</t>
        </is>
      </c>
      <c r="E183" s="2" t="inlineStr">
        <is>
          <t>M</t>
        </is>
      </c>
      <c r="F183" s="2" t="inlineStr">
        <is>
          <t>Done</t>
        </is>
      </c>
      <c r="G183" s="3" t="inlineStr">
        <is>
          <t>consilium_core/search.py (GET only, every row through frappe.get_list); /forums and /escalations accept ?q=. consilium_core.tests.test_global_search.TestGlobalSearch (all 9); browser journey global-search</t>
        </is>
      </c>
      <c r="H183" s="3" t="inlineStr">
        <is>
          <t>Done 2, Partial 3</t>
        </is>
      </c>
      <c r="I183" s="3" t="inlineStr">
        <is>
          <t>G-2, P-2, E-2, O-1</t>
        </is>
      </c>
      <c r="J183" s="2" t="inlineStr">
        <is>
          <t>epic trace</t>
        </is>
      </c>
      <c r="K183" s="3" t="inlineStr">
        <is>
          <t>As a user, I find a forum, policy or escalation from any page.</t>
        </is>
      </c>
      <c r="L183" s="3" t="inlineStr">
        <is>
          <t>one search box ("/" or Ctrl/Cmd+K); results grouped by record type, each opening its record; confidential documents and sensitive matters never shown to those not cleared; "See all" opens the list with the words carried over.</t>
        </is>
      </c>
    </row>
    <row r="184" ht="56" customHeight="1">
      <c r="A184" s="2" t="inlineStr">
        <is>
          <t>E35-S3</t>
        </is>
      </c>
      <c r="B184" s="2" t="inlineStr">
        <is>
          <t>E35</t>
        </is>
      </c>
      <c r="C184" s="3" t="inlineStr">
        <is>
          <t>Navigation, search and interface polish</t>
        </is>
      </c>
      <c r="D184" s="3" t="inlineStr">
        <is>
          <t>Phase 10 — Navigation, integrations and hand-offs</t>
        </is>
      </c>
      <c r="E184" s="2" t="inlineStr">
        <is>
          <t>S</t>
        </is>
      </c>
      <c r="F184" s="2" t="inlineStr">
        <is>
          <t>Partial</t>
        </is>
      </c>
      <c r="G184" s="3" t="inlineStr">
        <is>
          <t>/tasks?show=approvals, reviews, attestations, unowned and soon, linked from the My work menu; the list behind them is tested (consilium_core.tests.test_inbox (all 22)). The view filter runs in the browser, and no automated test selects a view</t>
        </is>
      </c>
      <c r="H184" s="3" t="inlineStr">
        <is>
          <t>Done 2, Partial 3</t>
        </is>
      </c>
      <c r="I184" s="3" t="inlineStr">
        <is>
          <t>G-2, P-2, E-2, O-1</t>
        </is>
      </c>
      <c r="J184" s="2" t="inlineStr">
        <is>
          <t>epic trace</t>
        </is>
      </c>
      <c r="K184" s="3" t="inlineStr">
        <is>
          <t>As a user, My work opens straight onto the kind of task I want.</t>
        </is>
      </c>
      <c r="L184" s="3" t="inlineStr">
        <is>
          <t>views for approvals, reviews, attestations and escalations waiting for an owner, reachable from the menu.</t>
        </is>
      </c>
    </row>
    <row r="185" ht="43" customHeight="1">
      <c r="A185" s="2" t="inlineStr">
        <is>
          <t>E35-S4</t>
        </is>
      </c>
      <c r="B185" s="2" t="inlineStr">
        <is>
          <t>E35</t>
        </is>
      </c>
      <c r="C185" s="3" t="inlineStr">
        <is>
          <t>Navigation, search and interface polish</t>
        </is>
      </c>
      <c r="D185" s="3" t="inlineStr">
        <is>
          <t>Phase 10 — Navigation, integrations and hand-offs</t>
        </is>
      </c>
      <c r="E185" s="2" t="inlineStr">
        <is>
          <t>S</t>
        </is>
      </c>
      <c r="F185" s="2" t="inlineStr">
        <is>
          <t>Partial</t>
        </is>
      </c>
      <c r="G185" s="3" t="inlineStr">
        <is>
          <t>consilium-table.js exports up to 5,000 rows through the list API and neutralises spreadsheet formulas. No automated test downloads an export</t>
        </is>
      </c>
      <c r="H185" s="3" t="inlineStr">
        <is>
          <t>Done 2, Partial 3</t>
        </is>
      </c>
      <c r="I185" s="3" t="inlineStr">
        <is>
          <t>G-2, P-2, E-2, O-1</t>
        </is>
      </c>
      <c r="J185" s="2" t="inlineStr">
        <is>
          <t>epic trace</t>
        </is>
      </c>
      <c r="K185" s="3" t="inlineStr">
        <is>
          <t>As a user, I export the list I am looking at.</t>
        </is>
      </c>
      <c r="L185" s="3" t="inlineStr">
        <is>
          <t>Export CSV on the forum, policy, escalation and formation-request lists; the rows matching the filters and search, through the permission-checked list; capped; safe to open in a spreadsheet.</t>
        </is>
      </c>
    </row>
    <row r="186" ht="160" customHeight="1">
      <c r="A186" s="2" t="inlineStr">
        <is>
          <t>E35-S5</t>
        </is>
      </c>
      <c r="B186" s="2" t="inlineStr">
        <is>
          <t>E35</t>
        </is>
      </c>
      <c r="C186" s="3" t="inlineStr">
        <is>
          <t>Navigation, search and interface polish</t>
        </is>
      </c>
      <c r="D186" s="3" t="inlineStr">
        <is>
          <t>Phase 10 — Navigation, integrations and hand-offs</t>
        </is>
      </c>
      <c r="E186" s="2" t="inlineStr">
        <is>
          <t>M</t>
        </is>
      </c>
      <c r="F186" s="2" t="inlineStr">
        <is>
          <t>Partial</t>
        </is>
      </c>
      <c r="G186" s="3" t="inlineStr">
        <is>
          <t>The shared page header, empty-state and focus styles are in public/css/consilium.css and used by every page; every page renders in the 302-check interface sweep; the keyboard walk checks focus. Layout shift was measured under 0.06 when the polish was done. A later pass fixed twelve interface issues found in review. It made the naming consistent (Policy library, Insights, Gaps and risk, Administration), described My work approvals in words, and counted the time-limit clocks only over records the viewer may read. It also let originators answer a returned request, opened the policy change log to the policy office, offered "Advanced view" to administrators only, and labelled times with their zone. No automated check of empty states or layout shift</t>
        </is>
      </c>
      <c r="H186" s="3" t="inlineStr">
        <is>
          <t>Done 2, Partial 3</t>
        </is>
      </c>
      <c r="I186" s="3" t="inlineStr">
        <is>
          <t>G-2, P-2, E-2, O-1</t>
        </is>
      </c>
      <c r="J186" s="2" t="inlineStr">
        <is>
          <t>epic trace</t>
        </is>
      </c>
      <c r="K186" s="3" t="inlineStr">
        <is>
          <t>As a user, every page looks and behaves the same way.</t>
        </is>
      </c>
      <c r="L186" s="3" t="inlineStr">
        <is>
          <t>consistent page headers and actions; empty states that say what to do next; visible focus rings; no visible layout shift as a page loads.</t>
        </is>
      </c>
    </row>
    <row r="187" ht="69" customHeight="1">
      <c r="A187" s="2" t="inlineStr">
        <is>
          <t>E36-S1</t>
        </is>
      </c>
      <c r="B187" s="2" t="inlineStr">
        <is>
          <t>E36</t>
        </is>
      </c>
      <c r="C187" s="3" t="inlineStr">
        <is>
          <t>Integrations and external hand-offs</t>
        </is>
      </c>
      <c r="D187" s="3" t="inlineStr">
        <is>
          <t>Phase 10 — Navigation, integrations and hand-offs</t>
        </is>
      </c>
      <c r="E187" s="2" t="inlineStr">
        <is>
          <t>M</t>
        </is>
      </c>
      <c r="F187" s="2" t="inlineStr">
        <is>
          <t>Done</t>
        </is>
      </c>
      <c r="G187" s="3" t="inlineStr">
        <is>
          <t>/integrations; consilium_core/integrations/admin.py (state, save, POST only). Settings in Assistant Settings, External Tools Settings and Email Delivery Settings; each single settings record hides the desk sidebar. consilium_core.tests.test_integrations.TestIntegrationsPage (all 14)</t>
        </is>
      </c>
      <c r="H187" s="3" t="inlineStr">
        <is>
          <t>Done 6</t>
        </is>
      </c>
      <c r="I187" s="3" t="inlineStr">
        <is>
          <t>G-14, P-14, E-17, O-6, O-7</t>
        </is>
      </c>
      <c r="J187" s="2" t="inlineStr">
        <is>
          <t>epic trace</t>
        </is>
      </c>
      <c r="K187" s="3" t="inlineStr">
        <is>
          <t>As an administrator, I connect the platform's integrations from one screen.</t>
        </is>
      </c>
      <c r="L187" s="3" t="inlineStr">
        <is>
          <t>Admin → Integrations, administrators only; one card per integration; a secret can be replaced but is never shown back; only a card's own fields are written.</t>
        </is>
      </c>
    </row>
    <row r="188" ht="69" customHeight="1">
      <c r="A188" s="2" t="inlineStr">
        <is>
          <t>E36-S2</t>
        </is>
      </c>
      <c r="B188" s="2" t="inlineStr">
        <is>
          <t>E36</t>
        </is>
      </c>
      <c r="C188" s="3" t="inlineStr">
        <is>
          <t>Integrations and external hand-offs</t>
        </is>
      </c>
      <c r="D188" s="3" t="inlineStr">
        <is>
          <t>Phase 10 — Navigation, integrations and hand-offs</t>
        </is>
      </c>
      <c r="E188" s="2" t="inlineStr">
        <is>
          <t>S</t>
        </is>
      </c>
      <c r="F188" s="2" t="inlineStr">
        <is>
          <t>Done</t>
        </is>
      </c>
      <c r="G188" s="3" t="inlineStr">
        <is>
          <t>admin.test_ai_connection; request format renamed to "OpenAI-compatible API", with a patch for existing sites (patches/v0_1/rename_openai_request_format). The demo site is connected to an OpenAI-compatible provider. TestIntegrationsPage (connection-test and legacy-format tests)</t>
        </is>
      </c>
      <c r="H188" s="3" t="inlineStr">
        <is>
          <t>Done 6</t>
        </is>
      </c>
      <c r="I188" s="3" t="inlineStr">
        <is>
          <t>G-14, P-14, E-17, O-6, O-7</t>
        </is>
      </c>
      <c r="J188" s="2" t="inlineStr">
        <is>
          <t>epic trace</t>
        </is>
      </c>
      <c r="K188" s="3" t="inlineStr">
        <is>
          <t>As an administrator, I know the AI connection works before anyone relies on it.</t>
        </is>
      </c>
      <c r="L188" s="3" t="inlineStr">
        <is>
          <t>Test connection goes through the audited client and reports success and latency or the error; a warning when an AI switch is on and no key is saved; the request format is named for what it is.</t>
        </is>
      </c>
    </row>
    <row r="189" ht="69" customHeight="1">
      <c r="A189" s="2" t="inlineStr">
        <is>
          <t>E36-S3</t>
        </is>
      </c>
      <c r="B189" s="2" t="inlineStr">
        <is>
          <t>E36</t>
        </is>
      </c>
      <c r="C189" s="3" t="inlineStr">
        <is>
          <t>Integrations and external hand-offs</t>
        </is>
      </c>
      <c r="D189" s="3" t="inlineStr">
        <is>
          <t>Phase 10 — Navigation, integrations and hand-offs</t>
        </is>
      </c>
      <c r="E189" s="2" t="inlineStr">
        <is>
          <t>M</t>
        </is>
      </c>
      <c r="F189" s="2" t="inlineStr">
        <is>
          <t>Done</t>
        </is>
      </c>
      <c r="G189" s="3" t="inlineStr">
        <is>
          <t>/doc-ai and external_tools.doc_ai_handoff (Access Log row "Doc AI hand-off"; refusals audited; addresses checked when saved and again when used). consilium_core.tests.test_integrations.TestDocAi (all 9), TestAddresses (all 5)</t>
        </is>
      </c>
      <c r="H189" s="3" t="inlineStr">
        <is>
          <t>Done 6</t>
        </is>
      </c>
      <c r="I189" s="3" t="inlineStr">
        <is>
          <t>G-14, P-14, E-17, O-6, O-7</t>
        </is>
      </c>
      <c r="J189" s="2" t="inlineStr">
        <is>
          <t>epic trace</t>
        </is>
      </c>
      <c r="K189" s="3" t="inlineStr">
        <is>
          <t>As a policy author, I open a governing document in the organisation's document editor.</t>
        </is>
      </c>
      <c r="L189" s="3" t="inlineStr">
        <is>
          <t>"Open in Doc AI" on the policy page, each version row and the document viewer; access and handling checked, and the hand-off logged, before the browser leaves; only identifiers in the address, never the file; a clear "not connected yet" explanation until an administrator sets the address.</t>
        </is>
      </c>
    </row>
    <row r="190" ht="56" customHeight="1">
      <c r="A190" s="2" t="inlineStr">
        <is>
          <t>E36-S4</t>
        </is>
      </c>
      <c r="B190" s="2" t="inlineStr">
        <is>
          <t>E36</t>
        </is>
      </c>
      <c r="C190" s="3" t="inlineStr">
        <is>
          <t>Integrations and external hand-offs</t>
        </is>
      </c>
      <c r="D190" s="3" t="inlineStr">
        <is>
          <t>Phase 10 — Navigation, integrations and hand-offs</t>
        </is>
      </c>
      <c r="E190" s="2" t="inlineStr">
        <is>
          <t>S</t>
        </is>
      </c>
      <c r="F190" s="2" t="inlineStr">
        <is>
          <t>Done</t>
        </is>
      </c>
      <c r="G190" s="3" t="inlineStr">
        <is>
          <t>/horizon-scanning, external_tools.horizon_target; the menu item follows the settings. TestHorizonScanning (all 3), consilium_core.tests.test_navigation.TestNavigation.test_horizon_scanning_follows_the_integration_settings</t>
        </is>
      </c>
      <c r="H190" s="3" t="inlineStr">
        <is>
          <t>Done 6</t>
        </is>
      </c>
      <c r="I190" s="3" t="inlineStr">
        <is>
          <t>G-14, P-14, E-17, O-6, O-7</t>
        </is>
      </c>
      <c r="J190" s="2" t="inlineStr">
        <is>
          <t>epic trace</t>
        </is>
      </c>
      <c r="K190" s="3" t="inlineStr">
        <is>
          <t>As a policy owner, I go to the organisation's horizon-scanning platform from where I work.</t>
        </is>
      </c>
      <c r="L190" s="3" t="inlineStr">
        <is>
          <t>a button on the policy register and on regulatory updates; the label is configuration; it explains itself when not connected.</t>
        </is>
      </c>
    </row>
    <row r="191" ht="108" customHeight="1">
      <c r="A191" s="2" t="inlineStr">
        <is>
          <t>E36-S5</t>
        </is>
      </c>
      <c r="B191" s="2" t="inlineStr">
        <is>
          <t>E36</t>
        </is>
      </c>
      <c r="C191" s="3" t="inlineStr">
        <is>
          <t>Integrations and external hand-offs</t>
        </is>
      </c>
      <c r="D191" s="3" t="inlineStr">
        <is>
          <t>Phase 10 — Navigation, integrations and hand-offs</t>
        </is>
      </c>
      <c r="E191" s="2" t="inlineStr">
        <is>
          <t>M</t>
        </is>
      </c>
      <c r="F191" s="2" t="inlineStr">
        <is>
          <t>Done</t>
        </is>
      </c>
      <c r="G191" s="3" t="inlineStr">
        <is>
          <t>consilium_core/integrations/graph_mail.py (standard library only); graph_* keys in consilium.conf, applied by deploy/configure_site.py; Send a test email to me. consilium_core.tests.test_graph_mail (TestTheWire (all 8), TestTheDispatchRecord (all 7), TestTheSettings (all 5)), TestIntegrationsPage.test_a_test_email_through_graph_reaches_the_administrator, tests/test_kit.py Graph tests. A real tenant is unexercised (needs the target). The framework's own mail (password reset) still needs SMTP</t>
        </is>
      </c>
      <c r="H191" s="3" t="inlineStr">
        <is>
          <t>Done 6</t>
        </is>
      </c>
      <c r="I191" s="3" t="inlineStr">
        <is>
          <t>G-14, P-14, E-17, O-6, O-7</t>
        </is>
      </c>
      <c r="J191" s="2" t="inlineStr">
        <is>
          <t>epic trace</t>
        </is>
      </c>
      <c r="K191" s="3" t="inlineStr">
        <is>
          <t>As a deploying organisation that allows no SMTP from servers, I send notifications through Microsoft Graph.</t>
        </is>
      </c>
      <c r="L191" s="3" t="inlineStr">
        <is>
          <t>app-only client credentials, no redirect URL; the token cached; a revoked token renewed once; throttling waited out per Retry-After; a timeout never re-sent at once; the same dispatch record and hourly retry as SMTP; configurable from the deployment configuration and Admin → Integrations; a test e-mail to the administrator.</t>
        </is>
      </c>
    </row>
    <row r="192" ht="43" customHeight="1">
      <c r="A192" s="2" t="inlineStr">
        <is>
          <t>E36-S6</t>
        </is>
      </c>
      <c r="B192" s="2" t="inlineStr">
        <is>
          <t>E36</t>
        </is>
      </c>
      <c r="C192" s="3" t="inlineStr">
        <is>
          <t>Integrations and external hand-offs</t>
        </is>
      </c>
      <c r="D192" s="3" t="inlineStr">
        <is>
          <t>Phase 10 — Navigation, integrations and hand-offs</t>
        </is>
      </c>
      <c r="E192" s="2" t="inlineStr">
        <is>
          <t>S</t>
        </is>
      </c>
      <c r="F192" s="2" t="inlineStr">
        <is>
          <t>Done</t>
        </is>
      </c>
      <c r="G192" s="3" t="inlineStr">
        <is>
          <t>admin.sso_card. TestIntegrationsPage.test_the_single_sign_on_card_shows_the_redirect_address</t>
        </is>
      </c>
      <c r="H192" s="3" t="inlineStr">
        <is>
          <t>Done 6</t>
        </is>
      </c>
      <c r="I192" s="3" t="inlineStr">
        <is>
          <t>G-14, P-14, E-17, O-6, O-7</t>
        </is>
      </c>
      <c r="J192" s="2" t="inlineStr">
        <is>
          <t>epic trace</t>
        </is>
      </c>
      <c r="K192" s="3" t="inlineStr">
        <is>
          <t>As an administrator, I see what to register with the identity provider.</t>
        </is>
      </c>
      <c r="L192" s="3" t="inlineStr">
        <is>
          <t>the single sign-on card shows the mode and the redirect URI with a copy button; switching SSO stays in the deployment configuration.</t>
        </is>
      </c>
    </row>
  </sheetData>
  <conditionalFormatting sqref="F2:F192">
    <cfRule type="expression" priority="1" dxfId="3" stopIfTrue="1">
      <formula>ISNUMBER(SEARCH("open",F2))</formula>
    </cfRule>
    <cfRule type="expression" priority="2" dxfId="2" stopIfTrue="1">
      <formula>ISNUMBER(SEARCH("changed",F2))</formula>
    </cfRule>
    <cfRule type="expression" priority="3" dxfId="2" stopIfTrue="1">
      <formula>ISNUMBER(SEARCH("new finding",F2))</formula>
    </cfRule>
    <cfRule type="expression" priority="4" dxfId="0" stopIfTrue="1">
      <formula>ISNUMBER(SEARCH("superseded",F2))</formula>
    </cfRule>
    <cfRule type="expression" priority="5" dxfId="0" stopIfTrue="1">
      <formula>ISNUMBER(SEARCH("done",F2))</formula>
    </cfRule>
    <cfRule type="expression" priority="6" dxfId="2" stopIfTrue="1">
      <formula>ISNUMBER(SEARCH("partial",F2))</formula>
    </cfRule>
    <cfRule type="expression" priority="7" dxfId="4" stopIfTrue="1">
      <formula>ISNUMBER(SEARCH("mostly done",F2))</formula>
    </cfRule>
    <cfRule type="expression" priority="8" dxfId="1" stopIfTrue="1">
      <formula>ISNUMBER(SEARCH("in progress",F2))</formula>
    </cfRule>
    <cfRule type="expression" priority="9" dxfId="3" stopIfTrue="1">
      <formula>ISNUMBER(SEARCH("not started",F2))</formula>
    </cfRule>
  </conditionalFormatting>
  <conditionalFormatting sqref="H2:H192">
    <cfRule type="expression" priority="10" dxfId="3" stopIfTrue="1">
      <formula>ISNUMBER(SEARCH("open",H2))</formula>
    </cfRule>
    <cfRule type="expression" priority="11" dxfId="2" stopIfTrue="1">
      <formula>ISNUMBER(SEARCH("changed",H2))</formula>
    </cfRule>
    <cfRule type="expression" priority="12" dxfId="2" stopIfTrue="1">
      <formula>ISNUMBER(SEARCH("new finding",H2))</formula>
    </cfRule>
    <cfRule type="expression" priority="13" dxfId="0" stopIfTrue="1">
      <formula>ISNUMBER(SEARCH("superseded",H2))</formula>
    </cfRule>
    <cfRule type="expression" priority="14" dxfId="0" stopIfTrue="1">
      <formula>ISNUMBER(SEARCH("done",H2))</formula>
    </cfRule>
    <cfRule type="expression" priority="15" dxfId="2" stopIfTrue="1">
      <formula>ISNUMBER(SEARCH("partial",H2))</formula>
    </cfRule>
    <cfRule type="expression" priority="16" dxfId="4" stopIfTrue="1">
      <formula>ISNUMBER(SEARCH("mostly done",H2))</formula>
    </cfRule>
    <cfRule type="expression" priority="17" dxfId="1" stopIfTrue="1">
      <formula>ISNUMBER(SEARCH("in progress",H2))</formula>
    </cfRule>
    <cfRule type="expression" priority="18" dxfId="3" stopIfTrue="1">
      <formula>ISNUMBER(SEARCH("not started",H2))</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I14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34" customWidth="1" min="3" max="3"/>
    <col width="30" customWidth="1" min="4" max="4"/>
    <col width="50" customWidth="1" min="5" max="5"/>
    <col width="14" customWidth="1" min="6" max="6"/>
    <col width="13" customWidth="1" min="7" max="7"/>
    <col width="13" customWidth="1" min="8" max="8"/>
    <col width="46" customWidth="1" min="9" max="9"/>
  </cols>
  <sheetData>
    <row r="1" ht="30" customHeight="1">
      <c r="A1" s="1" t="inlineStr">
        <is>
          <t>Req ID</t>
        </is>
      </c>
      <c r="B1" s="1" t="inlineStr">
        <is>
          <t>Module</t>
        </is>
      </c>
      <c r="C1" s="1" t="inlineStr">
        <is>
          <t>Test module</t>
        </is>
      </c>
      <c r="D1" s="1" t="inlineStr">
        <is>
          <t>Class</t>
        </is>
      </c>
      <c r="E1" s="1" t="inlineStr">
        <is>
          <t>Test method</t>
        </is>
      </c>
      <c r="F1" s="1" t="inlineStr">
        <is>
          <t>Cited as</t>
        </is>
      </c>
      <c r="G1" s="1" t="inlineStr">
        <is>
          <t>Stated count</t>
        </is>
      </c>
      <c r="H1" s="1" t="inlineStr">
        <is>
          <t>Methods found</t>
        </is>
      </c>
      <c r="I1" s="1" t="inlineStr">
        <is>
          <t>File</t>
        </is>
      </c>
    </row>
    <row r="2" ht="17" customHeight="1">
      <c r="A2" s="2" t="inlineStr">
        <is>
          <t>G-1</t>
        </is>
      </c>
      <c r="B2" s="3" t="inlineStr">
        <is>
          <t>CGF</t>
        </is>
      </c>
      <c r="C2" s="3" t="inlineStr">
        <is>
          <t>governance.tests.test_entities</t>
        </is>
      </c>
      <c r="D2" s="3" t="inlineStr">
        <is>
          <t>TestGovernanceEntities</t>
        </is>
      </c>
      <c r="E2" s="3" t="inlineStr">
        <is>
          <t>test_every_entity_exists_with_a_table</t>
        </is>
      </c>
      <c r="F2" s="3" t="inlineStr">
        <is>
          <t>whole class</t>
        </is>
      </c>
      <c r="G2" s="2" t="n">
        <v>19</v>
      </c>
      <c r="H2" s="2" t="n">
        <v>19</v>
      </c>
      <c r="I2" s="3" t="inlineStr">
        <is>
          <t>consilium/governance/tests/test_entities.py</t>
        </is>
      </c>
    </row>
    <row r="3" ht="17" customHeight="1">
      <c r="A3" s="2" t="inlineStr">
        <is>
          <t>G-1</t>
        </is>
      </c>
      <c r="B3" s="3" t="inlineStr">
        <is>
          <t>CGF</t>
        </is>
      </c>
      <c r="C3" s="3" t="inlineStr">
        <is>
          <t>governance.tests.test_entities</t>
        </is>
      </c>
      <c r="D3" s="3" t="inlineStr">
        <is>
          <t>TestGovernanceEntities</t>
        </is>
      </c>
      <c r="E3" s="3" t="inlineStr">
        <is>
          <t>test_a_forum_is_created_read_and_updated</t>
        </is>
      </c>
      <c r="F3" s="3" t="inlineStr">
        <is>
          <t>whole class</t>
        </is>
      </c>
      <c r="G3" s="2" t="n">
        <v>19</v>
      </c>
      <c r="H3" s="2" t="n">
        <v>19</v>
      </c>
      <c r="I3" s="3" t="inlineStr">
        <is>
          <t>consilium/governance/tests/test_entities.py</t>
        </is>
      </c>
    </row>
    <row r="4" ht="17" customHeight="1">
      <c r="A4" s="2" t="inlineStr">
        <is>
          <t>G-1</t>
        </is>
      </c>
      <c r="B4" s="3" t="inlineStr">
        <is>
          <t>CGF</t>
        </is>
      </c>
      <c r="C4" s="3" t="inlineStr">
        <is>
          <t>governance.tests.test_entities</t>
        </is>
      </c>
      <c r="D4" s="3" t="inlineStr">
        <is>
          <t>TestGovernanceEntities</t>
        </is>
      </c>
      <c r="E4" s="3" t="inlineStr">
        <is>
          <t>test_required_fields_are_enforced</t>
        </is>
      </c>
      <c r="F4" s="3" t="inlineStr">
        <is>
          <t>whole class</t>
        </is>
      </c>
      <c r="G4" s="2" t="n">
        <v>19</v>
      </c>
      <c r="H4" s="2" t="n">
        <v>19</v>
      </c>
      <c r="I4" s="3" t="inlineStr">
        <is>
          <t>consilium/governance/tests/test_entities.py</t>
        </is>
      </c>
    </row>
    <row r="5" ht="17" customHeight="1">
      <c r="A5" s="2" t="inlineStr">
        <is>
          <t>G-1</t>
        </is>
      </c>
      <c r="B5" s="3" t="inlineStr">
        <is>
          <t>CGF</t>
        </is>
      </c>
      <c r="C5" s="3" t="inlineStr">
        <is>
          <t>governance.tests.test_entities</t>
        </is>
      </c>
      <c r="D5" s="3" t="inlineStr">
        <is>
          <t>TestGovernanceEntities</t>
        </is>
      </c>
      <c r="E5" s="3" t="inlineStr">
        <is>
          <t>test_the_forum_carries_its_semantic_flags</t>
        </is>
      </c>
      <c r="F5" s="3" t="inlineStr">
        <is>
          <t>whole class</t>
        </is>
      </c>
      <c r="G5" s="2" t="n">
        <v>19</v>
      </c>
      <c r="H5" s="2" t="n">
        <v>19</v>
      </c>
      <c r="I5" s="3" t="inlineStr">
        <is>
          <t>consilium/governance/tests/test_entities.py</t>
        </is>
      </c>
    </row>
    <row r="6" ht="17" customHeight="1">
      <c r="A6" s="2" t="inlineStr">
        <is>
          <t>G-1</t>
        </is>
      </c>
      <c r="B6" s="3" t="inlineStr">
        <is>
          <t>CGF</t>
        </is>
      </c>
      <c r="C6" s="3" t="inlineStr">
        <is>
          <t>governance.tests.test_entities</t>
        </is>
      </c>
      <c r="D6" s="3" t="inlineStr">
        <is>
          <t>TestGovernanceEntities</t>
        </is>
      </c>
      <c r="E6" s="3" t="inlineStr">
        <is>
          <t>test_four_dimensions_are_multi_valued_and_two_are_not</t>
        </is>
      </c>
      <c r="F6" s="3" t="inlineStr">
        <is>
          <t>whole class</t>
        </is>
      </c>
      <c r="G6" s="2" t="n">
        <v>19</v>
      </c>
      <c r="H6" s="2" t="n">
        <v>19</v>
      </c>
      <c r="I6" s="3" t="inlineStr">
        <is>
          <t>consilium/governance/tests/test_entities.py</t>
        </is>
      </c>
    </row>
    <row r="7" ht="30" customHeight="1">
      <c r="A7" s="2" t="inlineStr">
        <is>
          <t>G-1</t>
        </is>
      </c>
      <c r="B7" s="3" t="inlineStr">
        <is>
          <t>CGF</t>
        </is>
      </c>
      <c r="C7" s="3" t="inlineStr">
        <is>
          <t>governance.tests.test_entities</t>
        </is>
      </c>
      <c r="D7" s="3" t="inlineStr">
        <is>
          <t>TestGovernanceEntities</t>
        </is>
      </c>
      <c r="E7" s="3" t="inlineStr">
        <is>
          <t>test_regulatory_detail_becomes_required_when_the_flag_is_set</t>
        </is>
      </c>
      <c r="F7" s="3" t="inlineStr">
        <is>
          <t>whole class</t>
        </is>
      </c>
      <c r="G7" s="2" t="n">
        <v>19</v>
      </c>
      <c r="H7" s="2" t="n">
        <v>19</v>
      </c>
      <c r="I7" s="3" t="inlineStr">
        <is>
          <t>consilium/governance/tests/test_entities.py</t>
        </is>
      </c>
    </row>
    <row r="8" ht="17" customHeight="1">
      <c r="A8" s="2" t="inlineStr">
        <is>
          <t>G-1</t>
        </is>
      </c>
      <c r="B8" s="3" t="inlineStr">
        <is>
          <t>CGF</t>
        </is>
      </c>
      <c r="C8" s="3" t="inlineStr">
        <is>
          <t>governance.tests.test_entities</t>
        </is>
      </c>
      <c r="D8" s="3" t="inlineStr">
        <is>
          <t>TestGovernanceEntities</t>
        </is>
      </c>
      <c r="E8" s="3" t="inlineStr">
        <is>
          <t>test_a_forum_cannot_be_its_own_ancestor</t>
        </is>
      </c>
      <c r="F8" s="3" t="inlineStr">
        <is>
          <t>whole class</t>
        </is>
      </c>
      <c r="G8" s="2" t="n">
        <v>19</v>
      </c>
      <c r="H8" s="2" t="n">
        <v>19</v>
      </c>
      <c r="I8" s="3" t="inlineStr">
        <is>
          <t>consilium/governance/tests/test_entities.py</t>
        </is>
      </c>
    </row>
    <row r="9" ht="17" customHeight="1">
      <c r="A9" s="2" t="inlineStr">
        <is>
          <t>G-1</t>
        </is>
      </c>
      <c r="B9" s="3" t="inlineStr">
        <is>
          <t>CGF</t>
        </is>
      </c>
      <c r="C9" s="3" t="inlineStr">
        <is>
          <t>governance.tests.test_entities</t>
        </is>
      </c>
      <c r="D9" s="3" t="inlineStr">
        <is>
          <t>TestGovernanceEntities</t>
        </is>
      </c>
      <c r="E9" s="3" t="inlineStr">
        <is>
          <t>test_a_link_takes_its_direction_from_the_field_it_sits_in</t>
        </is>
      </c>
      <c r="F9" s="3" t="inlineStr">
        <is>
          <t>whole class</t>
        </is>
      </c>
      <c r="G9" s="2" t="n">
        <v>19</v>
      </c>
      <c r="H9" s="2" t="n">
        <v>19</v>
      </c>
      <c r="I9" s="3" t="inlineStr">
        <is>
          <t>consilium/governance/tests/test_entities.py</t>
        </is>
      </c>
    </row>
    <row r="10" ht="17" customHeight="1">
      <c r="A10" s="2" t="inlineStr">
        <is>
          <t>G-1</t>
        </is>
      </c>
      <c r="B10" s="3" t="inlineStr">
        <is>
          <t>CGF</t>
        </is>
      </c>
      <c r="C10" s="3" t="inlineStr">
        <is>
          <t>governance.tests.test_entities</t>
        </is>
      </c>
      <c r="D10" s="3" t="inlineStr">
        <is>
          <t>TestGovernanceEntities</t>
        </is>
      </c>
      <c r="E10" s="3" t="inlineStr">
        <is>
          <t>test_a_forum_cannot_link_to_itself</t>
        </is>
      </c>
      <c r="F10" s="3" t="inlineStr">
        <is>
          <t>whole class</t>
        </is>
      </c>
      <c r="G10" s="2" t="n">
        <v>19</v>
      </c>
      <c r="H10" s="2" t="n">
        <v>19</v>
      </c>
      <c r="I10" s="3" t="inlineStr">
        <is>
          <t>consilium/governance/tests/test_entities.py</t>
        </is>
      </c>
    </row>
    <row r="11" ht="17" customHeight="1">
      <c r="A11" s="2" t="inlineStr">
        <is>
          <t>G-1</t>
        </is>
      </c>
      <c r="B11" s="3" t="inlineStr">
        <is>
          <t>CGF</t>
        </is>
      </c>
      <c r="C11" s="3" t="inlineStr">
        <is>
          <t>governance.tests.test_entities</t>
        </is>
      </c>
      <c r="D11" s="3" t="inlineStr">
        <is>
          <t>TestGovernanceEntities</t>
        </is>
      </c>
      <c r="E11" s="3" t="inlineStr">
        <is>
          <t>test_the_owning_organisation_must_be_an_operating_group</t>
        </is>
      </c>
      <c r="F11" s="3" t="inlineStr">
        <is>
          <t>whole class</t>
        </is>
      </c>
      <c r="G11" s="2" t="n">
        <v>19</v>
      </c>
      <c r="H11" s="2" t="n">
        <v>19</v>
      </c>
      <c r="I11" s="3" t="inlineStr">
        <is>
          <t>consilium/governance/tests/test_entities.py</t>
        </is>
      </c>
    </row>
    <row r="12" ht="30" customHeight="1">
      <c r="A12" s="2" t="inlineStr">
        <is>
          <t>G-1</t>
        </is>
      </c>
      <c r="B12" s="3" t="inlineStr">
        <is>
          <t>CGF</t>
        </is>
      </c>
      <c r="C12" s="3" t="inlineStr">
        <is>
          <t>governance.tests.test_entities</t>
        </is>
      </c>
      <c r="D12" s="3" t="inlineStr">
        <is>
          <t>TestGovernanceEntities</t>
        </is>
      </c>
      <c r="E12" s="3" t="inlineStr">
        <is>
          <t>test_a_line_of_business_must_sit_under_its_operating_group</t>
        </is>
      </c>
      <c r="F12" s="3" t="inlineStr">
        <is>
          <t>whole class</t>
        </is>
      </c>
      <c r="G12" s="2" t="n">
        <v>19</v>
      </c>
      <c r="H12" s="2" t="n">
        <v>19</v>
      </c>
      <c r="I12" s="3" t="inlineStr">
        <is>
          <t>consilium/governance/tests/test_entities.py</t>
        </is>
      </c>
    </row>
    <row r="13" ht="17" customHeight="1">
      <c r="A13" s="2" t="inlineStr">
        <is>
          <t>G-1</t>
        </is>
      </c>
      <c r="B13" s="3" t="inlineStr">
        <is>
          <t>CGF</t>
        </is>
      </c>
      <c r="C13" s="3" t="inlineStr">
        <is>
          <t>governance.tests.test_entities</t>
        </is>
      </c>
      <c r="D13" s="3" t="inlineStr">
        <is>
          <t>TestGovernanceEntities</t>
        </is>
      </c>
      <c r="E13" s="3" t="inlineStr">
        <is>
          <t>test_quorum_configuration_is_validated</t>
        </is>
      </c>
      <c r="F13" s="3" t="inlineStr">
        <is>
          <t>whole class</t>
        </is>
      </c>
      <c r="G13" s="2" t="n">
        <v>19</v>
      </c>
      <c r="H13" s="2" t="n">
        <v>19</v>
      </c>
      <c r="I13" s="3" t="inlineStr">
        <is>
          <t>consilium/governance/tests/test_entities.py</t>
        </is>
      </c>
    </row>
    <row r="14" ht="17" customHeight="1">
      <c r="A14" s="2" t="inlineStr">
        <is>
          <t>G-1</t>
        </is>
      </c>
      <c r="B14" s="3" t="inlineStr">
        <is>
          <t>CGF</t>
        </is>
      </c>
      <c r="C14" s="3" t="inlineStr">
        <is>
          <t>governance.tests.test_entities</t>
        </is>
      </c>
      <c r="D14" s="3" t="inlineStr">
        <is>
          <t>TestGovernanceEntities</t>
        </is>
      </c>
      <c r="E14" s="3" t="inlineStr">
        <is>
          <t>test_a_charter_belongs_to_a_forum_or_to_a_request</t>
        </is>
      </c>
      <c r="F14" s="3" t="inlineStr">
        <is>
          <t>whole class</t>
        </is>
      </c>
      <c r="G14" s="2" t="n">
        <v>19</v>
      </c>
      <c r="H14" s="2" t="n">
        <v>19</v>
      </c>
      <c r="I14" s="3" t="inlineStr">
        <is>
          <t>consilium/governance/tests/test_entities.py</t>
        </is>
      </c>
    </row>
    <row r="15" ht="30" customHeight="1">
      <c r="A15" s="2" t="inlineStr">
        <is>
          <t>G-1</t>
        </is>
      </c>
      <c r="B15" s="3" t="inlineStr">
        <is>
          <t>CGF</t>
        </is>
      </c>
      <c r="C15" s="3" t="inlineStr">
        <is>
          <t>governance.tests.test_entities</t>
        </is>
      </c>
      <c r="D15" s="3" t="inlineStr">
        <is>
          <t>TestGovernanceEntities</t>
        </is>
      </c>
      <c r="E15" s="3" t="inlineStr">
        <is>
          <t>test_a_meeting_records_attendance_against_seats_of_its_own_forum</t>
        </is>
      </c>
      <c r="F15" s="3" t="inlineStr">
        <is>
          <t>whole class</t>
        </is>
      </c>
      <c r="G15" s="2" t="n">
        <v>19</v>
      </c>
      <c r="H15" s="2" t="n">
        <v>19</v>
      </c>
      <c r="I15" s="3" t="inlineStr">
        <is>
          <t>consilium/governance/tests/test_entities.py</t>
        </is>
      </c>
    </row>
    <row r="16" ht="17" customHeight="1">
      <c r="A16" s="2" t="inlineStr">
        <is>
          <t>G-1</t>
        </is>
      </c>
      <c r="B16" s="3" t="inlineStr">
        <is>
          <t>CGF</t>
        </is>
      </c>
      <c r="C16" s="3" t="inlineStr">
        <is>
          <t>governance.tests.test_entities</t>
        </is>
      </c>
      <c r="D16" s="3" t="inlineStr">
        <is>
          <t>TestGovernanceEntities</t>
        </is>
      </c>
      <c r="E16" s="3" t="inlineStr">
        <is>
          <t>test_a_disbandment_plan_needs_the_approvals_it_requires</t>
        </is>
      </c>
      <c r="F16" s="3" t="inlineStr">
        <is>
          <t>whole class</t>
        </is>
      </c>
      <c r="G16" s="2" t="n">
        <v>19</v>
      </c>
      <c r="H16" s="2" t="n">
        <v>19</v>
      </c>
      <c r="I16" s="3" t="inlineStr">
        <is>
          <t>consilium/governance/tests/test_entities.py</t>
        </is>
      </c>
    </row>
    <row r="17" ht="17" customHeight="1">
      <c r="A17" s="2" t="inlineStr">
        <is>
          <t>G-1</t>
        </is>
      </c>
      <c r="B17" s="3" t="inlineStr">
        <is>
          <t>CGF</t>
        </is>
      </c>
      <c r="C17" s="3" t="inlineStr">
        <is>
          <t>governance.tests.test_entities</t>
        </is>
      </c>
      <c r="D17" s="3" t="inlineStr">
        <is>
          <t>TestGovernanceEntities</t>
        </is>
      </c>
      <c r="E17" s="3" t="inlineStr">
        <is>
          <t>test_permissions_are_enforced_server_side</t>
        </is>
      </c>
      <c r="F17" s="3" t="inlineStr">
        <is>
          <t>whole class</t>
        </is>
      </c>
      <c r="G17" s="2" t="n">
        <v>19</v>
      </c>
      <c r="H17" s="2" t="n">
        <v>19</v>
      </c>
      <c r="I17" s="3" t="inlineStr">
        <is>
          <t>consilium/governance/tests/test_entities.py</t>
        </is>
      </c>
    </row>
    <row r="18" ht="17" customHeight="1">
      <c r="A18" s="2" t="inlineStr">
        <is>
          <t>G-1</t>
        </is>
      </c>
      <c r="B18" s="3" t="inlineStr">
        <is>
          <t>CGF</t>
        </is>
      </c>
      <c r="C18" s="3" t="inlineStr">
        <is>
          <t>governance.tests.test_entities</t>
        </is>
      </c>
      <c r="D18" s="3" t="inlineStr">
        <is>
          <t>TestGovernanceEntities</t>
        </is>
      </c>
      <c r="E18" s="3" t="inlineStr">
        <is>
          <t>test_a_viewer_cannot_create_a_forum</t>
        </is>
      </c>
      <c r="F18" s="3" t="inlineStr">
        <is>
          <t>whole class</t>
        </is>
      </c>
      <c r="G18" s="2" t="n">
        <v>19</v>
      </c>
      <c r="H18" s="2" t="n">
        <v>19</v>
      </c>
      <c r="I18" s="3" t="inlineStr">
        <is>
          <t>consilium/governance/tests/test_entities.py</t>
        </is>
      </c>
    </row>
    <row r="19" ht="17" customHeight="1">
      <c r="A19" s="2" t="inlineStr">
        <is>
          <t>G-1</t>
        </is>
      </c>
      <c r="B19" s="3" t="inlineStr">
        <is>
          <t>CGF</t>
        </is>
      </c>
      <c r="C19" s="3" t="inlineStr">
        <is>
          <t>governance.tests.test_entities</t>
        </is>
      </c>
      <c r="D19" s="3" t="inlineStr">
        <is>
          <t>TestGovernanceEntities</t>
        </is>
      </c>
      <c r="E19" s="3" t="inlineStr">
        <is>
          <t>test_a_secretary_may_not_record_a_compliance_decision</t>
        </is>
      </c>
      <c r="F19" s="3" t="inlineStr">
        <is>
          <t>whole class</t>
        </is>
      </c>
      <c r="G19" s="2" t="n">
        <v>19</v>
      </c>
      <c r="H19" s="2" t="n">
        <v>19</v>
      </c>
      <c r="I19" s="3" t="inlineStr">
        <is>
          <t>consilium/governance/tests/test_entities.py</t>
        </is>
      </c>
    </row>
    <row r="20" ht="17" customHeight="1">
      <c r="A20" s="2" t="inlineStr">
        <is>
          <t>G-1</t>
        </is>
      </c>
      <c r="B20" s="3" t="inlineStr">
        <is>
          <t>CGF</t>
        </is>
      </c>
      <c r="C20" s="3" t="inlineStr">
        <is>
          <t>governance.tests.test_entities</t>
        </is>
      </c>
      <c r="D20" s="3" t="inlineStr">
        <is>
          <t>TestGovernanceEntities</t>
        </is>
      </c>
      <c r="E20" s="3" t="inlineStr">
        <is>
          <t>test_an_auditor_reads_everything_and_writes_nothing</t>
        </is>
      </c>
      <c r="F20" s="3" t="inlineStr">
        <is>
          <t>whole class</t>
        </is>
      </c>
      <c r="G20" s="2" t="n">
        <v>19</v>
      </c>
      <c r="H20" s="2" t="n">
        <v>19</v>
      </c>
      <c r="I20" s="3" t="inlineStr">
        <is>
          <t>consilium/governance/tests/test_entities.py</t>
        </is>
      </c>
    </row>
    <row r="21" ht="17" customHeight="1">
      <c r="A21" s="2" t="inlineStr">
        <is>
          <t>G-1</t>
        </is>
      </c>
      <c r="B21" s="3" t="inlineStr">
        <is>
          <t>CGF</t>
        </is>
      </c>
      <c r="C21" s="3" t="inlineStr">
        <is>
          <t>governance.tests.test_inventory</t>
        </is>
      </c>
      <c r="D21" s="3" t="inlineStr">
        <is>
          <t>TestSearchAndFilter</t>
        </is>
      </c>
      <c r="E21" s="3" t="inlineStr">
        <is>
          <t>test_search_respects_permissions</t>
        </is>
      </c>
      <c r="F21" s="3" t="inlineStr">
        <is>
          <t>named method</t>
        </is>
      </c>
      <c r="G21" s="2" t="n"/>
      <c r="H21" s="2" t="n">
        <v>1</v>
      </c>
      <c r="I21" s="3" t="inlineStr">
        <is>
          <t>consilium/governance/tests/test_inventory.py</t>
        </is>
      </c>
    </row>
    <row r="22" ht="17" customHeight="1">
      <c r="A22" s="2" t="inlineStr">
        <is>
          <t>G-1</t>
        </is>
      </c>
      <c r="B22" s="3" t="inlineStr">
        <is>
          <t>CGF</t>
        </is>
      </c>
      <c r="C22" s="3" t="inlineStr">
        <is>
          <t>consilium_core.tests.test_portal_pages</t>
        </is>
      </c>
      <c r="D22" s="3" t="inlineStr">
        <is>
          <t>TestReaderWithoutAccess</t>
        </is>
      </c>
      <c r="E22" s="3" t="inlineStr">
        <is>
          <t>test_every_page_renders_or_refuses_without_error</t>
        </is>
      </c>
      <c r="F22" s="3" t="inlineStr">
        <is>
          <t>whole class</t>
        </is>
      </c>
      <c r="G22" s="2" t="n">
        <v>2</v>
      </c>
      <c r="H22" s="2" t="n">
        <v>2</v>
      </c>
      <c r="I22" s="3" t="inlineStr">
        <is>
          <t>consilium/consilium_core/tests/test_portal_pages.py</t>
        </is>
      </c>
    </row>
    <row r="23" ht="17" customHeight="1">
      <c r="A23" s="2" t="inlineStr">
        <is>
          <t>G-1</t>
        </is>
      </c>
      <c r="B23" s="3" t="inlineStr">
        <is>
          <t>CGF</t>
        </is>
      </c>
      <c r="C23" s="3" t="inlineStr">
        <is>
          <t>consilium_core.tests.test_portal_pages</t>
        </is>
      </c>
      <c r="D23" s="3" t="inlineStr">
        <is>
          <t>TestReaderWithoutAccess</t>
        </is>
      </c>
      <c r="E23" s="3" t="inlineStr">
        <is>
          <t>test_record_pages_do_not_show_the_record</t>
        </is>
      </c>
      <c r="F23" s="3" t="inlineStr">
        <is>
          <t>whole class</t>
        </is>
      </c>
      <c r="G23" s="2" t="n">
        <v>2</v>
      </c>
      <c r="H23" s="2" t="n">
        <v>2</v>
      </c>
      <c r="I23" s="3" t="inlineStr">
        <is>
          <t>consilium/consilium_core/tests/test_portal_pages.py</t>
        </is>
      </c>
    </row>
    <row r="24" ht="17" customHeight="1">
      <c r="A24" s="2" t="inlineStr">
        <is>
          <t>G-2</t>
        </is>
      </c>
      <c r="B24" s="3" t="inlineStr">
        <is>
          <t>CGF</t>
        </is>
      </c>
      <c r="C24" s="3" t="inlineStr">
        <is>
          <t>governance.tests.test_inventory</t>
        </is>
      </c>
      <c r="D24" s="3" t="inlineStr">
        <is>
          <t>TestSearchAndFilter</t>
        </is>
      </c>
      <c r="E24" s="3" t="inlineStr">
        <is>
          <t>test_free_text_search_covers_identifier_name_and_mandate</t>
        </is>
      </c>
      <c r="F24" s="3" t="inlineStr">
        <is>
          <t>whole class</t>
        </is>
      </c>
      <c r="G24" s="2" t="n">
        <v>4</v>
      </c>
      <c r="H24" s="2" t="n">
        <v>4</v>
      </c>
      <c r="I24" s="3" t="inlineStr">
        <is>
          <t>consilium/governance/tests/test_inventory.py</t>
        </is>
      </c>
    </row>
    <row r="25" ht="17" customHeight="1">
      <c r="A25" s="2" t="inlineStr">
        <is>
          <t>G-2</t>
        </is>
      </c>
      <c r="B25" s="3" t="inlineStr">
        <is>
          <t>CGF</t>
        </is>
      </c>
      <c r="C25" s="3" t="inlineStr">
        <is>
          <t>governance.tests.test_inventory</t>
        </is>
      </c>
      <c r="D25" s="3" t="inlineStr">
        <is>
          <t>TestSearchAndFilter</t>
        </is>
      </c>
      <c r="E25" s="3" t="inlineStr">
        <is>
          <t>test_filtering_by_status_and_by_a_tagged_dimension</t>
        </is>
      </c>
      <c r="F25" s="3" t="inlineStr">
        <is>
          <t>whole class</t>
        </is>
      </c>
      <c r="G25" s="2" t="n">
        <v>4</v>
      </c>
      <c r="H25" s="2" t="n">
        <v>4</v>
      </c>
      <c r="I25" s="3" t="inlineStr">
        <is>
          <t>consilium/governance/tests/test_inventory.py</t>
        </is>
      </c>
    </row>
    <row r="26" ht="17" customHeight="1">
      <c r="A26" s="2" t="inlineStr">
        <is>
          <t>G-2</t>
        </is>
      </c>
      <c r="B26" s="3" t="inlineStr">
        <is>
          <t>CGF</t>
        </is>
      </c>
      <c r="C26" s="3" t="inlineStr">
        <is>
          <t>governance.tests.test_inventory</t>
        </is>
      </c>
      <c r="D26" s="3" t="inlineStr">
        <is>
          <t>TestSearchAndFilter</t>
        </is>
      </c>
      <c r="E26" s="3" t="inlineStr">
        <is>
          <t>test_results_paginate_and_sort</t>
        </is>
      </c>
      <c r="F26" s="3" t="inlineStr">
        <is>
          <t>whole class</t>
        </is>
      </c>
      <c r="G26" s="2" t="n">
        <v>4</v>
      </c>
      <c r="H26" s="2" t="n">
        <v>4</v>
      </c>
      <c r="I26" s="3" t="inlineStr">
        <is>
          <t>consilium/governance/tests/test_inventory.py</t>
        </is>
      </c>
    </row>
    <row r="27" ht="17" customHeight="1">
      <c r="A27" s="2" t="inlineStr">
        <is>
          <t>G-2</t>
        </is>
      </c>
      <c r="B27" s="3" t="inlineStr">
        <is>
          <t>CGF</t>
        </is>
      </c>
      <c r="C27" s="3" t="inlineStr">
        <is>
          <t>governance.tests.test_inventory</t>
        </is>
      </c>
      <c r="D27" s="3" t="inlineStr">
        <is>
          <t>TestSearchAndFilter</t>
        </is>
      </c>
      <c r="E27" s="3" t="inlineStr">
        <is>
          <t>test_search_respects_permissions</t>
        </is>
      </c>
      <c r="F27" s="3" t="inlineStr">
        <is>
          <t>whole class</t>
        </is>
      </c>
      <c r="G27" s="2" t="n">
        <v>4</v>
      </c>
      <c r="H27" s="2" t="n">
        <v>4</v>
      </c>
      <c r="I27" s="3" t="inlineStr">
        <is>
          <t>consilium/governance/tests/test_inventory.py</t>
        </is>
      </c>
    </row>
    <row r="28" ht="17" customHeight="1">
      <c r="A28" s="2" t="inlineStr">
        <is>
          <t>G-2</t>
        </is>
      </c>
      <c r="B28" s="3" t="inlineStr">
        <is>
          <t>CGF</t>
        </is>
      </c>
      <c r="C28" s="3" t="inlineStr">
        <is>
          <t>governance.tests.test_governance_gaps</t>
        </is>
      </c>
      <c r="D28" s="3" t="inlineStr">
        <is>
          <t>TestInventoryReads</t>
        </is>
      </c>
      <c r="E28" s="3" t="inlineStr">
        <is>
          <t>test_tagged_filters_intersect</t>
        </is>
      </c>
      <c r="F28" s="3" t="inlineStr">
        <is>
          <t>named method</t>
        </is>
      </c>
      <c r="G28" s="2" t="n"/>
      <c r="H28" s="2" t="n">
        <v>1</v>
      </c>
      <c r="I28" s="3" t="inlineStr">
        <is>
          <t>consilium/governance/tests/test_governance_gaps.py</t>
        </is>
      </c>
    </row>
    <row r="29" ht="17" customHeight="1">
      <c r="A29" s="2" t="inlineStr">
        <is>
          <t>G-2</t>
        </is>
      </c>
      <c r="B29" s="3" t="inlineStr">
        <is>
          <t>CGF</t>
        </is>
      </c>
      <c r="C29" s="3" t="inlineStr">
        <is>
          <t>governance.tests.test_governance_gaps</t>
        </is>
      </c>
      <c r="D29" s="3" t="inlineStr">
        <is>
          <t>TestInventoryReads</t>
        </is>
      </c>
      <c r="E29" s="3" t="inlineStr">
        <is>
          <t>test_tagged_names_respect_permission</t>
        </is>
      </c>
      <c r="F29" s="3" t="inlineStr">
        <is>
          <t>named method</t>
        </is>
      </c>
      <c r="G29" s="2" t="n"/>
      <c r="H29" s="2" t="n">
        <v>1</v>
      </c>
      <c r="I29" s="3" t="inlineStr">
        <is>
          <t>consilium/governance/tests/test_governance_gaps.py</t>
        </is>
      </c>
    </row>
    <row r="30" ht="17" customHeight="1">
      <c r="A30" s="2" t="inlineStr">
        <is>
          <t>G-2</t>
        </is>
      </c>
      <c r="B30" s="3" t="inlineStr">
        <is>
          <t>CGF</t>
        </is>
      </c>
      <c r="C30" s="3" t="inlineStr">
        <is>
          <t>governance.tests.test_governance_gaps</t>
        </is>
      </c>
      <c r="D30" s="3" t="inlineStr">
        <is>
          <t>TestInventoryReads</t>
        </is>
      </c>
      <c r="E30" s="3" t="inlineStr">
        <is>
          <t>test_filter_values_include_retired_ones_marked</t>
        </is>
      </c>
      <c r="F30" s="3" t="inlineStr">
        <is>
          <t>named method</t>
        </is>
      </c>
      <c r="G30" s="2" t="n"/>
      <c r="H30" s="2" t="n">
        <v>1</v>
      </c>
      <c r="I30" s="3" t="inlineStr">
        <is>
          <t>consilium/governance/tests/test_governance_gaps.py</t>
        </is>
      </c>
    </row>
    <row r="31" ht="17" customHeight="1">
      <c r="A31" s="2" t="inlineStr">
        <is>
          <t>G-2</t>
        </is>
      </c>
      <c r="B31" s="3" t="inlineStr">
        <is>
          <t>CGF</t>
        </is>
      </c>
      <c r="C31" s="3" t="inlineStr">
        <is>
          <t>consilium_core.tests.test_global_search</t>
        </is>
      </c>
      <c r="D31" s="3" t="inlineStr">
        <is>
          <t>TestGlobalSearch</t>
        </is>
      </c>
      <c r="E31" s="3" t="inlineStr">
        <is>
          <t>test_a_visitor_is_refused</t>
        </is>
      </c>
      <c r="F31" s="3" t="inlineStr">
        <is>
          <t>whole class</t>
        </is>
      </c>
      <c r="G31" s="2" t="n">
        <v>9</v>
      </c>
      <c r="H31" s="2" t="n">
        <v>9</v>
      </c>
      <c r="I31" s="3" t="inlineStr">
        <is>
          <t>consilium/consilium_core/tests/test_global_search.py</t>
        </is>
      </c>
    </row>
    <row r="32" ht="17" customHeight="1">
      <c r="A32" s="2" t="inlineStr">
        <is>
          <t>G-2</t>
        </is>
      </c>
      <c r="B32" s="3" t="inlineStr">
        <is>
          <t>CGF</t>
        </is>
      </c>
      <c r="C32" s="3" t="inlineStr">
        <is>
          <t>consilium_core.tests.test_global_search</t>
        </is>
      </c>
      <c r="D32" s="3" t="inlineStr">
        <is>
          <t>TestGlobalSearch</t>
        </is>
      </c>
      <c r="E32" s="3" t="inlineStr">
        <is>
          <t>test_a_sensitive_matter_reaches_only_the_cleared</t>
        </is>
      </c>
      <c r="F32" s="3" t="inlineStr">
        <is>
          <t>whole class</t>
        </is>
      </c>
      <c r="G32" s="2" t="n">
        <v>9</v>
      </c>
      <c r="H32" s="2" t="n">
        <v>9</v>
      </c>
      <c r="I32" s="3" t="inlineStr">
        <is>
          <t>consilium/consilium_core/tests/test_global_search.py</t>
        </is>
      </c>
    </row>
    <row r="33" ht="17" customHeight="1">
      <c r="A33" s="2" t="inlineStr">
        <is>
          <t>G-2</t>
        </is>
      </c>
      <c r="B33" s="3" t="inlineStr">
        <is>
          <t>CGF</t>
        </is>
      </c>
      <c r="C33" s="3" t="inlineStr">
        <is>
          <t>consilium_core.tests.test_global_search</t>
        </is>
      </c>
      <c r="D33" s="3" t="inlineStr">
        <is>
          <t>TestGlobalSearch</t>
        </is>
      </c>
      <c r="E33" s="3" t="inlineStr">
        <is>
          <t>test_a_reference_finds_the_record_but_not_a_hidden_one</t>
        </is>
      </c>
      <c r="F33" s="3" t="inlineStr">
        <is>
          <t>whole class</t>
        </is>
      </c>
      <c r="G33" s="2" t="n">
        <v>9</v>
      </c>
      <c r="H33" s="2" t="n">
        <v>9</v>
      </c>
      <c r="I33" s="3" t="inlineStr">
        <is>
          <t>consilium/consilium_core/tests/test_global_search.py</t>
        </is>
      </c>
    </row>
    <row r="34" ht="17" customHeight="1">
      <c r="A34" s="2" t="inlineStr">
        <is>
          <t>G-2</t>
        </is>
      </c>
      <c r="B34" s="3" t="inlineStr">
        <is>
          <t>CGF</t>
        </is>
      </c>
      <c r="C34" s="3" t="inlineStr">
        <is>
          <t>consilium_core.tests.test_global_search</t>
        </is>
      </c>
      <c r="D34" s="3" t="inlineStr">
        <is>
          <t>TestGlobalSearch</t>
        </is>
      </c>
      <c r="E34" s="3" t="inlineStr">
        <is>
          <t>test_a_type_the_person_may_not_read_is_left_out</t>
        </is>
      </c>
      <c r="F34" s="3" t="inlineStr">
        <is>
          <t>whole class</t>
        </is>
      </c>
      <c r="G34" s="2" t="n">
        <v>9</v>
      </c>
      <c r="H34" s="2" t="n">
        <v>9</v>
      </c>
      <c r="I34" s="3" t="inlineStr">
        <is>
          <t>consilium/consilium_core/tests/test_global_search.py</t>
        </is>
      </c>
    </row>
    <row r="35" ht="17" customHeight="1">
      <c r="A35" s="2" t="inlineStr">
        <is>
          <t>G-2</t>
        </is>
      </c>
      <c r="B35" s="3" t="inlineStr">
        <is>
          <t>CGF</t>
        </is>
      </c>
      <c r="C35" s="3" t="inlineStr">
        <is>
          <t>consilium_core.tests.test_global_search</t>
        </is>
      </c>
      <c r="D35" s="3" t="inlineStr">
        <is>
          <t>TestGlobalSearch</t>
        </is>
      </c>
      <c r="E35" s="3" t="inlineStr">
        <is>
          <t>test_short_and_wildcard_queries_match_nothing_extra</t>
        </is>
      </c>
      <c r="F35" s="3" t="inlineStr">
        <is>
          <t>whole class</t>
        </is>
      </c>
      <c r="G35" s="2" t="n">
        <v>9</v>
      </c>
      <c r="H35" s="2" t="n">
        <v>9</v>
      </c>
      <c r="I35" s="3" t="inlineStr">
        <is>
          <t>consilium/consilium_core/tests/test_global_search.py</t>
        </is>
      </c>
    </row>
    <row r="36" ht="17" customHeight="1">
      <c r="A36" s="2" t="inlineStr">
        <is>
          <t>G-2</t>
        </is>
      </c>
      <c r="B36" s="3" t="inlineStr">
        <is>
          <t>CGF</t>
        </is>
      </c>
      <c r="C36" s="3" t="inlineStr">
        <is>
          <t>consilium_core.tests.test_global_search</t>
        </is>
      </c>
      <c r="D36" s="3" t="inlineStr">
        <is>
          <t>TestGlobalSearch</t>
        </is>
      </c>
      <c r="E36" s="3" t="inlineStr">
        <is>
          <t>test_matching_ignores_case</t>
        </is>
      </c>
      <c r="F36" s="3" t="inlineStr">
        <is>
          <t>whole class</t>
        </is>
      </c>
      <c r="G36" s="2" t="n">
        <v>9</v>
      </c>
      <c r="H36" s="2" t="n">
        <v>9</v>
      </c>
      <c r="I36" s="3" t="inlineStr">
        <is>
          <t>consilium/consilium_core/tests/test_global_search.py</t>
        </is>
      </c>
    </row>
    <row r="37" ht="17" customHeight="1">
      <c r="A37" s="2" t="inlineStr">
        <is>
          <t>G-2</t>
        </is>
      </c>
      <c r="B37" s="3" t="inlineStr">
        <is>
          <t>CGF</t>
        </is>
      </c>
      <c r="C37" s="3" t="inlineStr">
        <is>
          <t>consilium_core.tests.test_global_search</t>
        </is>
      </c>
      <c r="D37" s="3" t="inlineStr">
        <is>
          <t>TestGlobalSearch</t>
        </is>
      </c>
      <c r="E37" s="3" t="inlineStr">
        <is>
          <t>test_results_say_where_they_open_and_the_limit_holds</t>
        </is>
      </c>
      <c r="F37" s="3" t="inlineStr">
        <is>
          <t>whole class</t>
        </is>
      </c>
      <c r="G37" s="2" t="n">
        <v>9</v>
      </c>
      <c r="H37" s="2" t="n">
        <v>9</v>
      </c>
      <c r="I37" s="3" t="inlineStr">
        <is>
          <t>consilium/consilium_core/tests/test_global_search.py</t>
        </is>
      </c>
    </row>
    <row r="38" ht="17" customHeight="1">
      <c r="A38" s="2" t="inlineStr">
        <is>
          <t>G-2</t>
        </is>
      </c>
      <c r="B38" s="3" t="inlineStr">
        <is>
          <t>CGF</t>
        </is>
      </c>
      <c r="C38" s="3" t="inlineStr">
        <is>
          <t>consilium_core.tests.test_global_search</t>
        </is>
      </c>
      <c r="D38" s="3" t="inlineStr">
        <is>
          <t>TestGlobalSearch</t>
        </is>
      </c>
      <c r="E38" s="3" t="inlineStr">
        <is>
          <t>test_the_limit_is_capped</t>
        </is>
      </c>
      <c r="F38" s="3" t="inlineStr">
        <is>
          <t>whole class</t>
        </is>
      </c>
      <c r="G38" s="2" t="n">
        <v>9</v>
      </c>
      <c r="H38" s="2" t="n">
        <v>9</v>
      </c>
      <c r="I38" s="3" t="inlineStr">
        <is>
          <t>consilium/consilium_core/tests/test_global_search.py</t>
        </is>
      </c>
    </row>
    <row r="39" ht="17" customHeight="1">
      <c r="A39" s="2" t="inlineStr">
        <is>
          <t>G-2</t>
        </is>
      </c>
      <c r="B39" s="3" t="inlineStr">
        <is>
          <t>CGF</t>
        </is>
      </c>
      <c r="C39" s="3" t="inlineStr">
        <is>
          <t>consilium_core.tests.test_global_search</t>
        </is>
      </c>
      <c r="D39" s="3" t="inlineStr">
        <is>
          <t>TestGlobalSearch</t>
        </is>
      </c>
      <c r="E39" s="3" t="inlineStr">
        <is>
          <t>test_it_is_a_get_endpoint</t>
        </is>
      </c>
      <c r="F39" s="3" t="inlineStr">
        <is>
          <t>whole class</t>
        </is>
      </c>
      <c r="G39" s="2" t="n">
        <v>9</v>
      </c>
      <c r="H39" s="2" t="n">
        <v>9</v>
      </c>
      <c r="I39" s="3" t="inlineStr">
        <is>
          <t>consilium/consilium_core/tests/test_global_search.py</t>
        </is>
      </c>
    </row>
    <row r="40" ht="17" customHeight="1">
      <c r="A40" s="2" t="inlineStr">
        <is>
          <t>G-3</t>
        </is>
      </c>
      <c r="B40" s="3" t="inlineStr">
        <is>
          <t>CGF</t>
        </is>
      </c>
      <c r="C40" s="3" t="inlineStr">
        <is>
          <t>governance.tests.test_entities</t>
        </is>
      </c>
      <c r="D40" s="3" t="inlineStr">
        <is>
          <t>TestGovernanceEntities</t>
        </is>
      </c>
      <c r="E40" s="3" t="inlineStr">
        <is>
          <t>test_four_dimensions_are_multi_valued_and_two_are_not</t>
        </is>
      </c>
      <c r="F40" s="3" t="inlineStr">
        <is>
          <t>named method</t>
        </is>
      </c>
      <c r="G40" s="2" t="n"/>
      <c r="H40" s="2" t="n">
        <v>1</v>
      </c>
      <c r="I40" s="3" t="inlineStr">
        <is>
          <t>consilium/governance/tests/test_entities.py</t>
        </is>
      </c>
    </row>
    <row r="41" ht="17" customHeight="1">
      <c r="A41" s="2" t="inlineStr">
        <is>
          <t>G-3</t>
        </is>
      </c>
      <c r="B41" s="3" t="inlineStr">
        <is>
          <t>CGF</t>
        </is>
      </c>
      <c r="C41" s="3" t="inlineStr">
        <is>
          <t>governance.tests.test_entities</t>
        </is>
      </c>
      <c r="D41" s="3" t="inlineStr">
        <is>
          <t>TestGovernanceEntities</t>
        </is>
      </c>
      <c r="E41" s="3" t="inlineStr">
        <is>
          <t>test_the_owning_organisation_must_be_an_operating_group</t>
        </is>
      </c>
      <c r="F41" s="3" t="inlineStr">
        <is>
          <t>named method</t>
        </is>
      </c>
      <c r="G41" s="2" t="n"/>
      <c r="H41" s="2" t="n">
        <v>1</v>
      </c>
      <c r="I41" s="3" t="inlineStr">
        <is>
          <t>consilium/governance/tests/test_entities.py</t>
        </is>
      </c>
    </row>
    <row r="42" ht="30" customHeight="1">
      <c r="A42" s="2" t="inlineStr">
        <is>
          <t>G-3</t>
        </is>
      </c>
      <c r="B42" s="3" t="inlineStr">
        <is>
          <t>CGF</t>
        </is>
      </c>
      <c r="C42" s="3" t="inlineStr">
        <is>
          <t>governance.tests.test_entities</t>
        </is>
      </c>
      <c r="D42" s="3" t="inlineStr">
        <is>
          <t>TestGovernanceEntities</t>
        </is>
      </c>
      <c r="E42" s="3" t="inlineStr">
        <is>
          <t>test_a_line_of_business_must_sit_under_its_operating_group</t>
        </is>
      </c>
      <c r="F42" s="3" t="inlineStr">
        <is>
          <t>named method</t>
        </is>
      </c>
      <c r="G42" s="2" t="n"/>
      <c r="H42" s="2" t="n">
        <v>1</v>
      </c>
      <c r="I42" s="3" t="inlineStr">
        <is>
          <t>consilium/governance/tests/test_entities.py</t>
        </is>
      </c>
    </row>
    <row r="43" ht="17" customHeight="1">
      <c r="A43" s="2" t="inlineStr">
        <is>
          <t>G-3</t>
        </is>
      </c>
      <c r="B43" s="3" t="inlineStr">
        <is>
          <t>CGF</t>
        </is>
      </c>
      <c r="C43" s="3" t="inlineStr">
        <is>
          <t>consilium_core.tests.test_entities</t>
        </is>
      </c>
      <c r="D43" s="3" t="inlineStr">
        <is>
          <t>TestTaxonomies</t>
        </is>
      </c>
      <c r="E43" s="3" t="inlineStr">
        <is>
          <t>test_create_read_update_and_deactivate</t>
        </is>
      </c>
      <c r="F43" s="3" t="inlineStr">
        <is>
          <t>whole class</t>
        </is>
      </c>
      <c r="G43" s="2" t="n">
        <v>9</v>
      </c>
      <c r="H43" s="2" t="n">
        <v>9</v>
      </c>
      <c r="I43" s="3" t="inlineStr">
        <is>
          <t>consilium/consilium_core/tests/test_entities.py</t>
        </is>
      </c>
    </row>
    <row r="44" ht="17" customHeight="1">
      <c r="A44" s="2" t="inlineStr">
        <is>
          <t>G-3</t>
        </is>
      </c>
      <c r="B44" s="3" t="inlineStr">
        <is>
          <t>CGF</t>
        </is>
      </c>
      <c r="C44" s="3" t="inlineStr">
        <is>
          <t>consilium_core.tests.test_entities</t>
        </is>
      </c>
      <c r="D44" s="3" t="inlineStr">
        <is>
          <t>TestTaxonomies</t>
        </is>
      </c>
      <c r="E44" s="3" t="inlineStr">
        <is>
          <t>test_a_code_cannot_be_reused</t>
        </is>
      </c>
      <c r="F44" s="3" t="inlineStr">
        <is>
          <t>whole class</t>
        </is>
      </c>
      <c r="G44" s="2" t="n">
        <v>9</v>
      </c>
      <c r="H44" s="2" t="n">
        <v>9</v>
      </c>
      <c r="I44" s="3" t="inlineStr">
        <is>
          <t>consilium/consilium_core/tests/test_entities.py</t>
        </is>
      </c>
    </row>
    <row r="45" ht="17" customHeight="1">
      <c r="A45" s="2" t="inlineStr">
        <is>
          <t>G-3</t>
        </is>
      </c>
      <c r="B45" s="3" t="inlineStr">
        <is>
          <t>CGF</t>
        </is>
      </c>
      <c r="C45" s="3" t="inlineStr">
        <is>
          <t>consilium_core.tests.test_entities</t>
        </is>
      </c>
      <c r="D45" s="3" t="inlineStr">
        <is>
          <t>TestTaxonomies</t>
        </is>
      </c>
      <c r="E45" s="3" t="inlineStr">
        <is>
          <t>test_every_taxonomy_carries_the_reconciliation_seam</t>
        </is>
      </c>
      <c r="F45" s="3" t="inlineStr">
        <is>
          <t>whole class</t>
        </is>
      </c>
      <c r="G45" s="2" t="n">
        <v>9</v>
      </c>
      <c r="H45" s="2" t="n">
        <v>9</v>
      </c>
      <c r="I45" s="3" t="inlineStr">
        <is>
          <t>consilium/consilium_core/tests/test_entities.py</t>
        </is>
      </c>
    </row>
    <row r="46" ht="17" customHeight="1">
      <c r="A46" s="2" t="inlineStr">
        <is>
          <t>G-3</t>
        </is>
      </c>
      <c r="B46" s="3" t="inlineStr">
        <is>
          <t>CGF</t>
        </is>
      </c>
      <c r="C46" s="3" t="inlineStr">
        <is>
          <t>consilium_core.tests.test_entities</t>
        </is>
      </c>
      <c r="D46" s="3" t="inlineStr">
        <is>
          <t>TestTaxonomies</t>
        </is>
      </c>
      <c r="E46" s="3" t="inlineStr">
        <is>
          <t>test_the_hierarchical_taxonomies_are_trees</t>
        </is>
      </c>
      <c r="F46" s="3" t="inlineStr">
        <is>
          <t>whole class</t>
        </is>
      </c>
      <c r="G46" s="2" t="n">
        <v>9</v>
      </c>
      <c r="H46" s="2" t="n">
        <v>9</v>
      </c>
      <c r="I46" s="3" t="inlineStr">
        <is>
          <t>consilium/consilium_core/tests/test_entities.py</t>
        </is>
      </c>
    </row>
    <row r="47" ht="17" customHeight="1">
      <c r="A47" s="2" t="inlineStr">
        <is>
          <t>G-3</t>
        </is>
      </c>
      <c r="B47" s="3" t="inlineStr">
        <is>
          <t>CGF</t>
        </is>
      </c>
      <c r="C47" s="3" t="inlineStr">
        <is>
          <t>consilium_core.tests.test_entities</t>
        </is>
      </c>
      <c r="D47" s="3" t="inlineStr">
        <is>
          <t>TestTaxonomies</t>
        </is>
      </c>
      <c r="E47" s="3" t="inlineStr">
        <is>
          <t>test_a_child_resolves_to_its_parent</t>
        </is>
      </c>
      <c r="F47" s="3" t="inlineStr">
        <is>
          <t>whole class</t>
        </is>
      </c>
      <c r="G47" s="2" t="n">
        <v>9</v>
      </c>
      <c r="H47" s="2" t="n">
        <v>9</v>
      </c>
      <c r="I47" s="3" t="inlineStr">
        <is>
          <t>consilium/consilium_core/tests/test_entities.py</t>
        </is>
      </c>
    </row>
    <row r="48" ht="17" customHeight="1">
      <c r="A48" s="2" t="inlineStr">
        <is>
          <t>G-3</t>
        </is>
      </c>
      <c r="B48" s="3" t="inlineStr">
        <is>
          <t>CGF</t>
        </is>
      </c>
      <c r="C48" s="3" t="inlineStr">
        <is>
          <t>consilium_core.tests.test_entities</t>
        </is>
      </c>
      <c r="D48" s="3" t="inlineStr">
        <is>
          <t>TestTaxonomies</t>
        </is>
      </c>
      <c r="E48" s="3" t="inlineStr">
        <is>
          <t>test_the_risk_tiers_are_enforced</t>
        </is>
      </c>
      <c r="F48" s="3" t="inlineStr">
        <is>
          <t>whole class</t>
        </is>
      </c>
      <c r="G48" s="2" t="n">
        <v>9</v>
      </c>
      <c r="H48" s="2" t="n">
        <v>9</v>
      </c>
      <c r="I48" s="3" t="inlineStr">
        <is>
          <t>consilium/consilium_core/tests/test_entities.py</t>
        </is>
      </c>
    </row>
    <row r="49" ht="17" customHeight="1">
      <c r="A49" s="2" t="inlineStr">
        <is>
          <t>G-3</t>
        </is>
      </c>
      <c r="B49" s="3" t="inlineStr">
        <is>
          <t>CGF</t>
        </is>
      </c>
      <c r="C49" s="3" t="inlineStr">
        <is>
          <t>consilium_core.tests.test_entities</t>
        </is>
      </c>
      <c r="D49" s="3" t="inlineStr">
        <is>
          <t>TestTaxonomies</t>
        </is>
      </c>
      <c r="E49" s="3" t="inlineStr">
        <is>
          <t>test_the_three_lines_are_enforced</t>
        </is>
      </c>
      <c r="F49" s="3" t="inlineStr">
        <is>
          <t>whole class</t>
        </is>
      </c>
      <c r="G49" s="2" t="n">
        <v>9</v>
      </c>
      <c r="H49" s="2" t="n">
        <v>9</v>
      </c>
      <c r="I49" s="3" t="inlineStr">
        <is>
          <t>consilium/consilium_core/tests/test_entities.py</t>
        </is>
      </c>
    </row>
    <row r="50" ht="17" customHeight="1">
      <c r="A50" s="2" t="inlineStr">
        <is>
          <t>G-3</t>
        </is>
      </c>
      <c r="B50" s="3" t="inlineStr">
        <is>
          <t>CGF</t>
        </is>
      </c>
      <c r="C50" s="3" t="inlineStr">
        <is>
          <t>consilium_core.tests.test_entities</t>
        </is>
      </c>
      <c r="D50" s="3" t="inlineStr">
        <is>
          <t>TestTaxonomies</t>
        </is>
      </c>
      <c r="E50" s="3" t="inlineStr">
        <is>
          <t>test_the_seeded_seat_roles_carry_their_behaviour</t>
        </is>
      </c>
      <c r="F50" s="3" t="inlineStr">
        <is>
          <t>whole class</t>
        </is>
      </c>
      <c r="G50" s="2" t="n">
        <v>9</v>
      </c>
      <c r="H50" s="2" t="n">
        <v>9</v>
      </c>
      <c r="I50" s="3" t="inlineStr">
        <is>
          <t>consilium/consilium_core/tests/test_entities.py</t>
        </is>
      </c>
    </row>
    <row r="51" ht="17" customHeight="1">
      <c r="A51" s="2" t="inlineStr">
        <is>
          <t>G-3</t>
        </is>
      </c>
      <c r="B51" s="3" t="inlineStr">
        <is>
          <t>CGF</t>
        </is>
      </c>
      <c r="C51" s="3" t="inlineStr">
        <is>
          <t>consilium_core.tests.test_entities</t>
        </is>
      </c>
      <c r="D51" s="3" t="inlineStr">
        <is>
          <t>TestTaxonomies</t>
        </is>
      </c>
      <c r="E51" s="3" t="inlineStr">
        <is>
          <t>test_a_change_is_recorded_in_the_audit_trail</t>
        </is>
      </c>
      <c r="F51" s="3" t="inlineStr">
        <is>
          <t>whole class</t>
        </is>
      </c>
      <c r="G51" s="2" t="n">
        <v>9</v>
      </c>
      <c r="H51" s="2" t="n">
        <v>9</v>
      </c>
      <c r="I51" s="3" t="inlineStr">
        <is>
          <t>consilium/consilium_core/tests/test_entities.py</t>
        </is>
      </c>
    </row>
    <row r="52" ht="30" customHeight="1">
      <c r="A52" s="2" t="inlineStr">
        <is>
          <t>G-3</t>
        </is>
      </c>
      <c r="B52" s="3" t="inlineStr">
        <is>
          <t>CGF</t>
        </is>
      </c>
      <c r="C52" s="3" t="inlineStr">
        <is>
          <t>consilium_core.tests.test_taxonomy</t>
        </is>
      </c>
      <c r="D52" s="3" t="inlineStr">
        <is>
          <t>TestActiveOnlySearch</t>
        </is>
      </c>
      <c r="E52" s="3" t="inlineStr">
        <is>
          <t>test_the_hook_entry_covers_every_taxonomy_and_each_carries_the_flag</t>
        </is>
      </c>
      <c r="F52" s="3" t="inlineStr">
        <is>
          <t>whole class</t>
        </is>
      </c>
      <c r="G52" s="2" t="n">
        <v>6</v>
      </c>
      <c r="H52" s="2" t="n">
        <v>6</v>
      </c>
      <c r="I52" s="3" t="inlineStr">
        <is>
          <t>consilium/consilium_core/tests/test_taxonomy.py</t>
        </is>
      </c>
    </row>
    <row r="53" ht="17" customHeight="1">
      <c r="A53" s="2" t="inlineStr">
        <is>
          <t>G-3</t>
        </is>
      </c>
      <c r="B53" s="3" t="inlineStr">
        <is>
          <t>CGF</t>
        </is>
      </c>
      <c r="C53" s="3" t="inlineStr">
        <is>
          <t>consilium_core.tests.test_taxonomy</t>
        </is>
      </c>
      <c r="D53" s="3" t="inlineStr">
        <is>
          <t>TestActiveOnlySearch</t>
        </is>
      </c>
      <c r="E53" s="3" t="inlineStr">
        <is>
          <t>test_a_retired_value_is_not_offered_but_a_live_one_is</t>
        </is>
      </c>
      <c r="F53" s="3" t="inlineStr">
        <is>
          <t>whole class</t>
        </is>
      </c>
      <c r="G53" s="2" t="n">
        <v>6</v>
      </c>
      <c r="H53" s="2" t="n">
        <v>6</v>
      </c>
      <c r="I53" s="3" t="inlineStr">
        <is>
          <t>consilium/consilium_core/tests/test_taxonomy.py</t>
        </is>
      </c>
    </row>
    <row r="54" ht="17" customHeight="1">
      <c r="A54" s="2" t="inlineStr">
        <is>
          <t>G-3</t>
        </is>
      </c>
      <c r="B54" s="3" t="inlineStr">
        <is>
          <t>CGF</t>
        </is>
      </c>
      <c r="C54" s="3" t="inlineStr">
        <is>
          <t>consilium_core.tests.test_taxonomy</t>
        </is>
      </c>
      <c r="D54" s="3" t="inlineStr">
        <is>
          <t>TestActiveOnlySearch</t>
        </is>
      </c>
      <c r="E54" s="3" t="inlineStr">
        <is>
          <t>test_through_the_standard_queries_hook</t>
        </is>
      </c>
      <c r="F54" s="3" t="inlineStr">
        <is>
          <t>whole class</t>
        </is>
      </c>
      <c r="G54" s="2" t="n">
        <v>6</v>
      </c>
      <c r="H54" s="2" t="n">
        <v>6</v>
      </c>
      <c r="I54" s="3" t="inlineStr">
        <is>
          <t>consilium/consilium_core/tests/test_taxonomy.py</t>
        </is>
      </c>
    </row>
    <row r="55" ht="30" customHeight="1">
      <c r="A55" s="2" t="inlineStr">
        <is>
          <t>G-3</t>
        </is>
      </c>
      <c r="B55" s="3" t="inlineStr">
        <is>
          <t>CGF</t>
        </is>
      </c>
      <c r="C55" s="3" t="inlineStr">
        <is>
          <t>consilium_core.tests.test_taxonomy</t>
        </is>
      </c>
      <c r="D55" s="3" t="inlineStr">
        <is>
          <t>TestActiveOnlySearch</t>
        </is>
      </c>
      <c r="E55" s="3" t="inlineStr">
        <is>
          <t>test_a_record_made_before_retirement_still_shows_the_value</t>
        </is>
      </c>
      <c r="F55" s="3" t="inlineStr">
        <is>
          <t>whole class</t>
        </is>
      </c>
      <c r="G55" s="2" t="n">
        <v>6</v>
      </c>
      <c r="H55" s="2" t="n">
        <v>6</v>
      </c>
      <c r="I55" s="3" t="inlineStr">
        <is>
          <t>consilium/consilium_core/tests/test_taxonomy.py</t>
        </is>
      </c>
    </row>
    <row r="56" ht="17" customHeight="1">
      <c r="A56" s="2" t="inlineStr">
        <is>
          <t>G-3</t>
        </is>
      </c>
      <c r="B56" s="3" t="inlineStr">
        <is>
          <t>CGF</t>
        </is>
      </c>
      <c r="C56" s="3" t="inlineStr">
        <is>
          <t>consilium_core.tests.test_taxonomy</t>
        </is>
      </c>
      <c r="D56" s="3" t="inlineStr">
        <is>
          <t>TestActiveOnlySearch</t>
        </is>
      </c>
      <c r="E56" s="3" t="inlineStr">
        <is>
          <t>test_a_caller_that_asks_for_retired_values_gets_them</t>
        </is>
      </c>
      <c r="F56" s="3" t="inlineStr">
        <is>
          <t>whole class</t>
        </is>
      </c>
      <c r="G56" s="2" t="n">
        <v>6</v>
      </c>
      <c r="H56" s="2" t="n">
        <v>6</v>
      </c>
      <c r="I56" s="3" t="inlineStr">
        <is>
          <t>consilium/consilium_core/tests/test_taxonomy.py</t>
        </is>
      </c>
    </row>
    <row r="57" ht="17" customHeight="1">
      <c r="A57" s="2" t="inlineStr">
        <is>
          <t>G-3</t>
        </is>
      </c>
      <c r="B57" s="3" t="inlineStr">
        <is>
          <t>CGF</t>
        </is>
      </c>
      <c r="C57" s="3" t="inlineStr">
        <is>
          <t>consilium_core.tests.test_taxonomy</t>
        </is>
      </c>
      <c r="D57" s="3" t="inlineStr">
        <is>
          <t>TestActiveOnlySearch</t>
        </is>
      </c>
      <c r="E57" s="3" t="inlineStr">
        <is>
          <t>test_permissions_still_apply</t>
        </is>
      </c>
      <c r="F57" s="3" t="inlineStr">
        <is>
          <t>whole class</t>
        </is>
      </c>
      <c r="G57" s="2" t="n">
        <v>6</v>
      </c>
      <c r="H57" s="2" t="n">
        <v>6</v>
      </c>
      <c r="I57" s="3" t="inlineStr">
        <is>
          <t>consilium/consilium_core/tests/test_taxonomy.py</t>
        </is>
      </c>
    </row>
    <row r="58" ht="30" customHeight="1">
      <c r="A58" s="2" t="inlineStr">
        <is>
          <t>G-4</t>
        </is>
      </c>
      <c r="B58" s="3" t="inlineStr">
        <is>
          <t>CGF</t>
        </is>
      </c>
      <c r="C58" s="3" t="inlineStr">
        <is>
          <t>governance.tests.test_entities</t>
        </is>
      </c>
      <c r="D58" s="3" t="inlineStr">
        <is>
          <t>TestGovernanceEntities</t>
        </is>
      </c>
      <c r="E58" s="3" t="inlineStr">
        <is>
          <t>test_regulatory_detail_becomes_required_when_the_flag_is_set</t>
        </is>
      </c>
      <c r="F58" s="3" t="inlineStr">
        <is>
          <t>named method</t>
        </is>
      </c>
      <c r="G58" s="2" t="n"/>
      <c r="H58" s="2" t="n">
        <v>1</v>
      </c>
      <c r="I58" s="3" t="inlineStr">
        <is>
          <t>consilium/governance/tests/test_entities.py</t>
        </is>
      </c>
    </row>
    <row r="59" ht="17" customHeight="1">
      <c r="A59" s="2" t="inlineStr">
        <is>
          <t>G-4</t>
        </is>
      </c>
      <c r="B59" s="3" t="inlineStr">
        <is>
          <t>CGF</t>
        </is>
      </c>
      <c r="C59" s="3" t="inlineStr">
        <is>
          <t>governance.tests.test_entities</t>
        </is>
      </c>
      <c r="D59" s="3" t="inlineStr">
        <is>
          <t>TestGovernanceEntities</t>
        </is>
      </c>
      <c r="E59" s="3" t="inlineStr">
        <is>
          <t>test_a_forum_cannot_be_its_own_ancestor</t>
        </is>
      </c>
      <c r="F59" s="3" t="inlineStr">
        <is>
          <t>named method</t>
        </is>
      </c>
      <c r="G59" s="2" t="n"/>
      <c r="H59" s="2" t="n">
        <v>1</v>
      </c>
      <c r="I59" s="3" t="inlineStr">
        <is>
          <t>consilium/governance/tests/test_entities.py</t>
        </is>
      </c>
    </row>
    <row r="60" ht="17" customHeight="1">
      <c r="A60" s="2" t="inlineStr">
        <is>
          <t>G-4</t>
        </is>
      </c>
      <c r="B60" s="3" t="inlineStr">
        <is>
          <t>CGF</t>
        </is>
      </c>
      <c r="C60" s="3" t="inlineStr">
        <is>
          <t>governance.tests.test_entities</t>
        </is>
      </c>
      <c r="D60" s="3" t="inlineStr">
        <is>
          <t>TestGovernanceEntities</t>
        </is>
      </c>
      <c r="E60" s="3" t="inlineStr">
        <is>
          <t>test_a_link_takes_its_direction_from_the_field_it_sits_in</t>
        </is>
      </c>
      <c r="F60" s="3" t="inlineStr">
        <is>
          <t>named method</t>
        </is>
      </c>
      <c r="G60" s="2" t="n"/>
      <c r="H60" s="2" t="n">
        <v>1</v>
      </c>
      <c r="I60" s="3" t="inlineStr">
        <is>
          <t>consilium/governance/tests/test_entities.py</t>
        </is>
      </c>
    </row>
    <row r="61" ht="17" customHeight="1">
      <c r="A61" s="2" t="inlineStr">
        <is>
          <t>G-4</t>
        </is>
      </c>
      <c r="B61" s="3" t="inlineStr">
        <is>
          <t>CGF</t>
        </is>
      </c>
      <c r="C61" s="3" t="inlineStr">
        <is>
          <t>governance.tests.test_entities</t>
        </is>
      </c>
      <c r="D61" s="3" t="inlineStr">
        <is>
          <t>TestGovernanceEntities</t>
        </is>
      </c>
      <c r="E61" s="3" t="inlineStr">
        <is>
          <t>test_a_forum_cannot_link_to_itself</t>
        </is>
      </c>
      <c r="F61" s="3" t="inlineStr">
        <is>
          <t>named method</t>
        </is>
      </c>
      <c r="G61" s="2" t="n"/>
      <c r="H61" s="2" t="n">
        <v>1</v>
      </c>
      <c r="I61" s="3" t="inlineStr">
        <is>
          <t>consilium/governance/tests/test_entities.py</t>
        </is>
      </c>
    </row>
    <row r="62" ht="17" customHeight="1">
      <c r="A62" s="2" t="inlineStr">
        <is>
          <t>G-4</t>
        </is>
      </c>
      <c r="B62" s="3" t="inlineStr">
        <is>
          <t>CGF</t>
        </is>
      </c>
      <c r="C62" s="3" t="inlineStr">
        <is>
          <t>governance.tests.test_inventory</t>
        </is>
      </c>
      <c r="D62" s="3" t="inlineStr">
        <is>
          <t>TestRelationships</t>
        </is>
      </c>
      <c r="E62" s="3" t="inlineStr">
        <is>
          <t>test_the_hierarchy_reads_from_the_parent_link</t>
        </is>
      </c>
      <c r="F62" s="3" t="inlineStr">
        <is>
          <t>whole class</t>
        </is>
      </c>
      <c r="G62" s="2" t="n">
        <v>2</v>
      </c>
      <c r="H62" s="2" t="n">
        <v>2</v>
      </c>
      <c r="I62" s="3" t="inlineStr">
        <is>
          <t>consilium/governance/tests/test_inventory.py</t>
        </is>
      </c>
    </row>
    <row r="63" ht="30" customHeight="1">
      <c r="A63" s="2" t="inlineStr">
        <is>
          <t>G-4</t>
        </is>
      </c>
      <c r="B63" s="3" t="inlineStr">
        <is>
          <t>CGF</t>
        </is>
      </c>
      <c r="C63" s="3" t="inlineStr">
        <is>
          <t>governance.tests.test_inventory</t>
        </is>
      </c>
      <c r="D63" s="3" t="inlineStr">
        <is>
          <t>TestRelationships</t>
        </is>
      </c>
      <c r="E63" s="3" t="inlineStr">
        <is>
          <t>test_the_inverse_relationship_is_visible_from_the_other_side</t>
        </is>
      </c>
      <c r="F63" s="3" t="inlineStr">
        <is>
          <t>whole class</t>
        </is>
      </c>
      <c r="G63" s="2" t="n">
        <v>2</v>
      </c>
      <c r="H63" s="2" t="n">
        <v>2</v>
      </c>
      <c r="I63" s="3" t="inlineStr">
        <is>
          <t>consilium/governance/tests/test_inventory.py</t>
        </is>
      </c>
    </row>
    <row r="64" ht="17" customHeight="1">
      <c r="A64" s="2" t="inlineStr">
        <is>
          <t>G-5</t>
        </is>
      </c>
      <c r="B64" s="3" t="inlineStr">
        <is>
          <t>CGF</t>
        </is>
      </c>
      <c r="C64" s="3" t="inlineStr">
        <is>
          <t>governance.tests.test_formation</t>
        </is>
      </c>
      <c r="D64" s="3" t="inlineStr">
        <is>
          <t>TestIntake</t>
        </is>
      </c>
      <c r="E64" s="3" t="inlineStr">
        <is>
          <t>test_one_intake_covers_create_modify_and_retire</t>
        </is>
      </c>
      <c r="F64" s="3" t="inlineStr">
        <is>
          <t>whole module</t>
        </is>
      </c>
      <c r="G64" s="2" t="n">
        <v>27</v>
      </c>
      <c r="H64" s="2" t="n">
        <v>27</v>
      </c>
      <c r="I64" s="3" t="inlineStr">
        <is>
          <t>consilium/governance/tests/test_formation.py</t>
        </is>
      </c>
    </row>
    <row r="65" ht="17" customHeight="1">
      <c r="A65" s="2" t="inlineStr">
        <is>
          <t>G-5</t>
        </is>
      </c>
      <c r="B65" s="3" t="inlineStr">
        <is>
          <t>CGF</t>
        </is>
      </c>
      <c r="C65" s="3" t="inlineStr">
        <is>
          <t>governance.tests.test_formation</t>
        </is>
      </c>
      <c r="D65" s="3" t="inlineStr">
        <is>
          <t>TestIntake</t>
        </is>
      </c>
      <c r="E65" s="3" t="inlineStr">
        <is>
          <t>test_a_modify_request_must_name_its_subject</t>
        </is>
      </c>
      <c r="F65" s="3" t="inlineStr">
        <is>
          <t>whole module</t>
        </is>
      </c>
      <c r="G65" s="2" t="n">
        <v>27</v>
      </c>
      <c r="H65" s="2" t="n">
        <v>27</v>
      </c>
      <c r="I65" s="3" t="inlineStr">
        <is>
          <t>consilium/governance/tests/test_formation.py</t>
        </is>
      </c>
    </row>
    <row r="66" ht="17" customHeight="1">
      <c r="A66" s="2" t="inlineStr">
        <is>
          <t>G-5</t>
        </is>
      </c>
      <c r="B66" s="3" t="inlineStr">
        <is>
          <t>CGF</t>
        </is>
      </c>
      <c r="C66" s="3" t="inlineStr">
        <is>
          <t>governance.tests.test_formation</t>
        </is>
      </c>
      <c r="D66" s="3" t="inlineStr">
        <is>
          <t>TestIntake</t>
        </is>
      </c>
      <c r="E66" s="3" t="inlineStr">
        <is>
          <t>test_required_fields_are_enforced_before_submission</t>
        </is>
      </c>
      <c r="F66" s="3" t="inlineStr">
        <is>
          <t>whole module</t>
        </is>
      </c>
      <c r="G66" s="2" t="n">
        <v>27</v>
      </c>
      <c r="H66" s="2" t="n">
        <v>27</v>
      </c>
      <c r="I66" s="3" t="inlineStr">
        <is>
          <t>consilium/governance/tests/test_formation.py</t>
        </is>
      </c>
    </row>
    <row r="67" ht="17" customHeight="1">
      <c r="A67" s="2" t="inlineStr">
        <is>
          <t>G-5</t>
        </is>
      </c>
      <c r="B67" s="3" t="inlineStr">
        <is>
          <t>CGF</t>
        </is>
      </c>
      <c r="C67" s="3" t="inlineStr">
        <is>
          <t>governance.tests.test_formation</t>
        </is>
      </c>
      <c r="D67" s="3" t="inlineStr">
        <is>
          <t>TestIntake</t>
        </is>
      </c>
      <c r="E67" s="3" t="inlineStr">
        <is>
          <t>test_the_five_criteria_are_present_on_every_request</t>
        </is>
      </c>
      <c r="F67" s="3" t="inlineStr">
        <is>
          <t>whole module</t>
        </is>
      </c>
      <c r="G67" s="2" t="n">
        <v>27</v>
      </c>
      <c r="H67" s="2" t="n">
        <v>27</v>
      </c>
      <c r="I67" s="3" t="inlineStr">
        <is>
          <t>consilium/governance/tests/test_formation.py</t>
        </is>
      </c>
    </row>
    <row r="68" ht="17" customHeight="1">
      <c r="A68" s="2" t="inlineStr">
        <is>
          <t>G-5</t>
        </is>
      </c>
      <c r="B68" s="3" t="inlineStr">
        <is>
          <t>CGF</t>
        </is>
      </c>
      <c r="C68" s="3" t="inlineStr">
        <is>
          <t>governance.tests.test_formation</t>
        </is>
      </c>
      <c r="D68" s="3" t="inlineStr">
        <is>
          <t>TestIntake</t>
        </is>
      </c>
      <c r="E68" s="3" t="inlineStr">
        <is>
          <t>test_submission_runs_the_overlap_check</t>
        </is>
      </c>
      <c r="F68" s="3" t="inlineStr">
        <is>
          <t>whole module</t>
        </is>
      </c>
      <c r="G68" s="2" t="n">
        <v>27</v>
      </c>
      <c r="H68" s="2" t="n">
        <v>27</v>
      </c>
      <c r="I68" s="3" t="inlineStr">
        <is>
          <t>consilium/governance/tests/test_formation.py</t>
        </is>
      </c>
    </row>
    <row r="69" ht="17" customHeight="1">
      <c r="A69" s="2" t="inlineStr">
        <is>
          <t>G-5</t>
        </is>
      </c>
      <c r="B69" s="3" t="inlineStr">
        <is>
          <t>CGF</t>
        </is>
      </c>
      <c r="C69" s="3" t="inlineStr">
        <is>
          <t>governance.tests.test_formation</t>
        </is>
      </c>
      <c r="D69" s="3" t="inlineStr">
        <is>
          <t>TestEvaluation</t>
        </is>
      </c>
      <c r="E69" s="3" t="inlineStr">
        <is>
          <t>test_a_finding_needs_a_comment</t>
        </is>
      </c>
      <c r="F69" s="3" t="inlineStr">
        <is>
          <t>whole module</t>
        </is>
      </c>
      <c r="G69" s="2" t="n">
        <v>27</v>
      </c>
      <c r="H69" s="2" t="n">
        <v>27</v>
      </c>
      <c r="I69" s="3" t="inlineStr">
        <is>
          <t>consilium/governance/tests/test_formation.py</t>
        </is>
      </c>
    </row>
    <row r="70" ht="17" customHeight="1">
      <c r="A70" s="2" t="inlineStr">
        <is>
          <t>G-5</t>
        </is>
      </c>
      <c r="B70" s="3" t="inlineStr">
        <is>
          <t>CGF</t>
        </is>
      </c>
      <c r="C70" s="3" t="inlineStr">
        <is>
          <t>governance.tests.test_formation</t>
        </is>
      </c>
      <c r="D70" s="3" t="inlineStr">
        <is>
          <t>TestEvaluation</t>
        </is>
      </c>
      <c r="E70" s="3" t="inlineStr">
        <is>
          <t>test_a_finding_stamps_its_reviewer</t>
        </is>
      </c>
      <c r="F70" s="3" t="inlineStr">
        <is>
          <t>whole module</t>
        </is>
      </c>
      <c r="G70" s="2" t="n">
        <v>27</v>
      </c>
      <c r="H70" s="2" t="n">
        <v>27</v>
      </c>
      <c r="I70" s="3" t="inlineStr">
        <is>
          <t>consilium/governance/tests/test_formation.py</t>
        </is>
      </c>
    </row>
    <row r="71" ht="30" customHeight="1">
      <c r="A71" s="2" t="inlineStr">
        <is>
          <t>G-5</t>
        </is>
      </c>
      <c r="B71" s="3" t="inlineStr">
        <is>
          <t>CGF</t>
        </is>
      </c>
      <c r="C71" s="3" t="inlineStr">
        <is>
          <t>governance.tests.test_formation</t>
        </is>
      </c>
      <c r="D71" s="3" t="inlineStr">
        <is>
          <t>TestEvaluation</t>
        </is>
      </c>
      <c r="E71" s="3" t="inlineStr">
        <is>
          <t>test_approval_cannot_be_sought_while_a_criterion_is_unassessed</t>
        </is>
      </c>
      <c r="F71" s="3" t="inlineStr">
        <is>
          <t>whole module</t>
        </is>
      </c>
      <c r="G71" s="2" t="n">
        <v>27</v>
      </c>
      <c r="H71" s="2" t="n">
        <v>27</v>
      </c>
      <c r="I71" s="3" t="inlineStr">
        <is>
          <t>consilium/governance/tests/test_formation.py</t>
        </is>
      </c>
    </row>
    <row r="72" ht="30" customHeight="1">
      <c r="A72" s="2" t="inlineStr">
        <is>
          <t>G-5</t>
        </is>
      </c>
      <c r="B72" s="3" t="inlineStr">
        <is>
          <t>CGF</t>
        </is>
      </c>
      <c r="C72" s="3" t="inlineStr">
        <is>
          <t>governance.tests.test_formation</t>
        </is>
      </c>
      <c r="D72" s="3" t="inlineStr">
        <is>
          <t>TestEvaluation</t>
        </is>
      </c>
      <c r="E72" s="3" t="inlineStr">
        <is>
          <t>test_approval_cannot_be_sought_without_the_completeness_confirmation</t>
        </is>
      </c>
      <c r="F72" s="3" t="inlineStr">
        <is>
          <t>whole module</t>
        </is>
      </c>
      <c r="G72" s="2" t="n">
        <v>27</v>
      </c>
      <c r="H72" s="2" t="n">
        <v>27</v>
      </c>
      <c r="I72" s="3" t="inlineStr">
        <is>
          <t>consilium/governance/tests/test_formation.py</t>
        </is>
      </c>
    </row>
    <row r="73" ht="30" customHeight="1">
      <c r="A73" s="2" t="inlineStr">
        <is>
          <t>G-5</t>
        </is>
      </c>
      <c r="B73" s="3" t="inlineStr">
        <is>
          <t>CGF</t>
        </is>
      </c>
      <c r="C73" s="3" t="inlineStr">
        <is>
          <t>governance.tests.test_formation</t>
        </is>
      </c>
      <c r="D73" s="3" t="inlineStr">
        <is>
          <t>TestReturnToOriginator</t>
        </is>
      </c>
      <c r="E73" s="3" t="inlineStr">
        <is>
          <t>test_returning_is_a_transition_and_the_exchange_is_preserved</t>
        </is>
      </c>
      <c r="F73" s="3" t="inlineStr">
        <is>
          <t>whole module</t>
        </is>
      </c>
      <c r="G73" s="2" t="n">
        <v>27</v>
      </c>
      <c r="H73" s="2" t="n">
        <v>27</v>
      </c>
      <c r="I73" s="3" t="inlineStr">
        <is>
          <t>consilium/governance/tests/test_formation.py</t>
        </is>
      </c>
    </row>
    <row r="74" ht="17" customHeight="1">
      <c r="A74" s="2" t="inlineStr">
        <is>
          <t>G-5</t>
        </is>
      </c>
      <c r="B74" s="3" t="inlineStr">
        <is>
          <t>CGF</t>
        </is>
      </c>
      <c r="C74" s="3" t="inlineStr">
        <is>
          <t>governance.tests.test_formation</t>
        </is>
      </c>
      <c r="D74" s="3" t="inlineStr">
        <is>
          <t>TestReturnToOriginator</t>
        </is>
      </c>
      <c r="E74" s="3" t="inlineStr">
        <is>
          <t>test_the_originator_is_notified</t>
        </is>
      </c>
      <c r="F74" s="3" t="inlineStr">
        <is>
          <t>whole module</t>
        </is>
      </c>
      <c r="G74" s="2" t="n">
        <v>27</v>
      </c>
      <c r="H74" s="2" t="n">
        <v>27</v>
      </c>
      <c r="I74" s="3" t="inlineStr">
        <is>
          <t>consilium/governance/tests/test_formation.py</t>
        </is>
      </c>
    </row>
    <row r="75" ht="17" customHeight="1">
      <c r="A75" s="2" t="inlineStr">
        <is>
          <t>G-5</t>
        </is>
      </c>
      <c r="B75" s="3" t="inlineStr">
        <is>
          <t>CGF</t>
        </is>
      </c>
      <c r="C75" s="3" t="inlineStr">
        <is>
          <t>governance.tests.test_formation</t>
        </is>
      </c>
      <c r="D75" s="3" t="inlineStr">
        <is>
          <t>TestReturnToOriginator</t>
        </is>
      </c>
      <c r="E75" s="3" t="inlineStr">
        <is>
          <t>test_returning_without_questions_is_refused</t>
        </is>
      </c>
      <c r="F75" s="3" t="inlineStr">
        <is>
          <t>whole module</t>
        </is>
      </c>
      <c r="G75" s="2" t="n">
        <v>27</v>
      </c>
      <c r="H75" s="2" t="n">
        <v>27</v>
      </c>
      <c r="I75" s="3" t="inlineStr">
        <is>
          <t>consilium/governance/tests/test_formation.py</t>
        </is>
      </c>
    </row>
    <row r="76" ht="30" customHeight="1">
      <c r="A76" s="2" t="inlineStr">
        <is>
          <t>G-5</t>
        </is>
      </c>
      <c r="B76" s="3" t="inlineStr">
        <is>
          <t>CGF</t>
        </is>
      </c>
      <c r="C76" s="3" t="inlineStr">
        <is>
          <t>governance.tests.test_formation</t>
        </is>
      </c>
      <c r="D76" s="3" t="inlineStr">
        <is>
          <t>TestReturnToOriginator</t>
        </is>
      </c>
      <c r="E76" s="3" t="inlineStr">
        <is>
          <t>test_a_request_is_not_editable_while_it_is_under_evaluation</t>
        </is>
      </c>
      <c r="F76" s="3" t="inlineStr">
        <is>
          <t>whole module</t>
        </is>
      </c>
      <c r="G76" s="2" t="n">
        <v>27</v>
      </c>
      <c r="H76" s="2" t="n">
        <v>27</v>
      </c>
      <c r="I76" s="3" t="inlineStr">
        <is>
          <t>consilium/governance/tests/test_formation.py</t>
        </is>
      </c>
    </row>
    <row r="77" ht="17" customHeight="1">
      <c r="A77" s="2" t="inlineStr">
        <is>
          <t>G-5</t>
        </is>
      </c>
      <c r="B77" s="3" t="inlineStr">
        <is>
          <t>CGF</t>
        </is>
      </c>
      <c r="C77" s="3" t="inlineStr">
        <is>
          <t>governance.tests.test_formation</t>
        </is>
      </c>
      <c r="D77" s="3" t="inlineStr">
        <is>
          <t>TestApprovalRoute</t>
        </is>
      </c>
      <c r="E77" s="3" t="inlineStr">
        <is>
          <t>test_the_steps_are_configuration</t>
        </is>
      </c>
      <c r="F77" s="3" t="inlineStr">
        <is>
          <t>whole module</t>
        </is>
      </c>
      <c r="G77" s="2" t="n">
        <v>27</v>
      </c>
      <c r="H77" s="2" t="n">
        <v>27</v>
      </c>
      <c r="I77" s="3" t="inlineStr">
        <is>
          <t>consilium/governance/tests/test_formation.py</t>
        </is>
      </c>
    </row>
    <row r="78" ht="30" customHeight="1">
      <c r="A78" s="2" t="inlineStr">
        <is>
          <t>G-5</t>
        </is>
      </c>
      <c r="B78" s="3" t="inlineStr">
        <is>
          <t>CGF</t>
        </is>
      </c>
      <c r="C78" s="3" t="inlineStr">
        <is>
          <t>governance.tests.test_formation</t>
        </is>
      </c>
      <c r="D78" s="3" t="inlineStr">
        <is>
          <t>TestApprovalRoute</t>
        </is>
      </c>
      <c r="E78" s="3" t="inlineStr">
        <is>
          <t>test_a_route_change_changes_the_steps_without_a_deployment</t>
        </is>
      </c>
      <c r="F78" s="3" t="inlineStr">
        <is>
          <t>whole module</t>
        </is>
      </c>
      <c r="G78" s="2" t="n">
        <v>27</v>
      </c>
      <c r="H78" s="2" t="n">
        <v>27</v>
      </c>
      <c r="I78" s="3" t="inlineStr">
        <is>
          <t>consilium/governance/tests/test_formation.py</t>
        </is>
      </c>
    </row>
    <row r="79" ht="17" customHeight="1">
      <c r="A79" s="2" t="inlineStr">
        <is>
          <t>G-5</t>
        </is>
      </c>
      <c r="B79" s="3" t="inlineStr">
        <is>
          <t>CGF</t>
        </is>
      </c>
      <c r="C79" s="3" t="inlineStr">
        <is>
          <t>governance.tests.test_formation</t>
        </is>
      </c>
      <c r="D79" s="3" t="inlineStr">
        <is>
          <t>TestApprovalRoute</t>
        </is>
      </c>
      <c r="E79" s="3" t="inlineStr">
        <is>
          <t>test_approval_is_refused_while_a_step_is_undecided</t>
        </is>
      </c>
      <c r="F79" s="3" t="inlineStr">
        <is>
          <t>whole module</t>
        </is>
      </c>
      <c r="G79" s="2" t="n">
        <v>27</v>
      </c>
      <c r="H79" s="2" t="n">
        <v>27</v>
      </c>
      <c r="I79" s="3" t="inlineStr">
        <is>
          <t>consilium/governance/tests/test_formation.py</t>
        </is>
      </c>
    </row>
    <row r="80" ht="30" customHeight="1">
      <c r="A80" s="2" t="inlineStr">
        <is>
          <t>G-5</t>
        </is>
      </c>
      <c r="B80" s="3" t="inlineStr">
        <is>
          <t>CGF</t>
        </is>
      </c>
      <c r="C80" s="3" t="inlineStr">
        <is>
          <t>governance.tests.test_formation</t>
        </is>
      </c>
      <c r="D80" s="3" t="inlineStr">
        <is>
          <t>TestApprovalRoute</t>
        </is>
      </c>
      <c r="E80" s="3" t="inlineStr">
        <is>
          <t>test_a_step_cannot_be_bypassed_without_a_recorded_exception</t>
        </is>
      </c>
      <c r="F80" s="3" t="inlineStr">
        <is>
          <t>whole module</t>
        </is>
      </c>
      <c r="G80" s="2" t="n">
        <v>27</v>
      </c>
      <c r="H80" s="2" t="n">
        <v>27</v>
      </c>
      <c r="I80" s="3" t="inlineStr">
        <is>
          <t>consilium/governance/tests/test_formation.py</t>
        </is>
      </c>
    </row>
    <row r="81" ht="17" customHeight="1">
      <c r="A81" s="2" t="inlineStr">
        <is>
          <t>G-5</t>
        </is>
      </c>
      <c r="B81" s="3" t="inlineStr">
        <is>
          <t>CGF</t>
        </is>
      </c>
      <c r="C81" s="3" t="inlineStr">
        <is>
          <t>governance.tests.test_formation</t>
        </is>
      </c>
      <c r="D81" s="3" t="inlineStr">
        <is>
          <t>TestApprovalRoute</t>
        </is>
      </c>
      <c r="E81" s="3" t="inlineStr">
        <is>
          <t>test_a_decided_step_leaves_the_outstanding_list</t>
        </is>
      </c>
      <c r="F81" s="3" t="inlineStr">
        <is>
          <t>whole module</t>
        </is>
      </c>
      <c r="G81" s="2" t="n">
        <v>27</v>
      </c>
      <c r="H81" s="2" t="n">
        <v>27</v>
      </c>
      <c r="I81" s="3" t="inlineStr">
        <is>
          <t>consilium/governance/tests/test_formation.py</t>
        </is>
      </c>
    </row>
    <row r="82" ht="30" customHeight="1">
      <c r="A82" s="2" t="inlineStr">
        <is>
          <t>G-5</t>
        </is>
      </c>
      <c r="B82" s="3" t="inlineStr">
        <is>
          <t>CGF</t>
        </is>
      </c>
      <c r="C82" s="3" t="inlineStr">
        <is>
          <t>governance.tests.test_formation</t>
        </is>
      </c>
      <c r="D82" s="3" t="inlineStr">
        <is>
          <t>TestExceptionRoute</t>
        </is>
      </c>
      <c r="E82" s="3" t="inlineStr">
        <is>
          <t>test_an_exception_routes_to_the_designated_authority_with_a_rationale</t>
        </is>
      </c>
      <c r="F82" s="3" t="inlineStr">
        <is>
          <t>whole module</t>
        </is>
      </c>
      <c r="G82" s="2" t="n">
        <v>27</v>
      </c>
      <c r="H82" s="2" t="n">
        <v>27</v>
      </c>
      <c r="I82" s="3" t="inlineStr">
        <is>
          <t>consilium/governance/tests/test_formation.py</t>
        </is>
      </c>
    </row>
    <row r="83" ht="17" customHeight="1">
      <c r="A83" s="2" t="inlineStr">
        <is>
          <t>G-5</t>
        </is>
      </c>
      <c r="B83" s="3" t="inlineStr">
        <is>
          <t>CGF</t>
        </is>
      </c>
      <c r="C83" s="3" t="inlineStr">
        <is>
          <t>governance.tests.test_formation</t>
        </is>
      </c>
      <c r="D83" s="3" t="inlineStr">
        <is>
          <t>TestExceptionRoute</t>
        </is>
      </c>
      <c r="E83" s="3" t="inlineStr">
        <is>
          <t>test_an_exception_without_a_rationale_is_refused</t>
        </is>
      </c>
      <c r="F83" s="3" t="inlineStr">
        <is>
          <t>whole module</t>
        </is>
      </c>
      <c r="G83" s="2" t="n">
        <v>27</v>
      </c>
      <c r="H83" s="2" t="n">
        <v>27</v>
      </c>
      <c r="I83" s="3" t="inlineStr">
        <is>
          <t>consilium/governance/tests/test_formation.py</t>
        </is>
      </c>
    </row>
    <row r="84" ht="30" customHeight="1">
      <c r="A84" s="2" t="inlineStr">
        <is>
          <t>G-5</t>
        </is>
      </c>
      <c r="B84" s="3" t="inlineStr">
        <is>
          <t>CGF</t>
        </is>
      </c>
      <c r="C84" s="3" t="inlineStr">
        <is>
          <t>governance.tests.test_formation</t>
        </is>
      </c>
      <c r="D84" s="3" t="inlineStr">
        <is>
          <t>TestExceptionRoute</t>
        </is>
      </c>
      <c r="E84" s="3" t="inlineStr">
        <is>
          <t>test_resolving_an_exception_returns_the_request_to_approval</t>
        </is>
      </c>
      <c r="F84" s="3" t="inlineStr">
        <is>
          <t>whole module</t>
        </is>
      </c>
      <c r="G84" s="2" t="n">
        <v>27</v>
      </c>
      <c r="H84" s="2" t="n">
        <v>27</v>
      </c>
      <c r="I84" s="3" t="inlineStr">
        <is>
          <t>consilium/governance/tests/test_formation.py</t>
        </is>
      </c>
    </row>
    <row r="85" ht="17" customHeight="1">
      <c r="A85" s="2" t="inlineStr">
        <is>
          <t>G-5</t>
        </is>
      </c>
      <c r="B85" s="3" t="inlineStr">
        <is>
          <t>CGF</t>
        </is>
      </c>
      <c r="C85" s="3" t="inlineStr">
        <is>
          <t>governance.tests.test_formation</t>
        </is>
      </c>
      <c r="D85" s="3" t="inlineStr">
        <is>
          <t>TestApprovalCreatesTheForum</t>
        </is>
      </c>
      <c r="E85" s="3" t="inlineStr">
        <is>
          <t>test_an_approved_request_creates_a_forum_in_draft</t>
        </is>
      </c>
      <c r="F85" s="3" t="inlineStr">
        <is>
          <t>whole module</t>
        </is>
      </c>
      <c r="G85" s="2" t="n">
        <v>27</v>
      </c>
      <c r="H85" s="2" t="n">
        <v>27</v>
      </c>
      <c r="I85" s="3" t="inlineStr">
        <is>
          <t>consilium/governance/tests/test_formation.py</t>
        </is>
      </c>
    </row>
    <row r="86" ht="17" customHeight="1">
      <c r="A86" s="2" t="inlineStr">
        <is>
          <t>G-5</t>
        </is>
      </c>
      <c r="B86" s="3" t="inlineStr">
        <is>
          <t>CGF</t>
        </is>
      </c>
      <c r="C86" s="3" t="inlineStr">
        <is>
          <t>governance.tests.test_formation</t>
        </is>
      </c>
      <c r="D86" s="3" t="inlineStr">
        <is>
          <t>TestApprovalCreatesTheForum</t>
        </is>
      </c>
      <c r="E86" s="3" t="inlineStr">
        <is>
          <t>test_the_link_is_navigable_in_both_directions</t>
        </is>
      </c>
      <c r="F86" s="3" t="inlineStr">
        <is>
          <t>whole module</t>
        </is>
      </c>
      <c r="G86" s="2" t="n">
        <v>27</v>
      </c>
      <c r="H86" s="2" t="n">
        <v>27</v>
      </c>
      <c r="I86" s="3" t="inlineStr">
        <is>
          <t>consilium/governance/tests/test_formation.py</t>
        </is>
      </c>
    </row>
    <row r="87" ht="17" customHeight="1">
      <c r="A87" s="2" t="inlineStr">
        <is>
          <t>G-5</t>
        </is>
      </c>
      <c r="B87" s="3" t="inlineStr">
        <is>
          <t>CGF</t>
        </is>
      </c>
      <c r="C87" s="3" t="inlineStr">
        <is>
          <t>governance.tests.test_formation</t>
        </is>
      </c>
      <c r="D87" s="3" t="inlineStr">
        <is>
          <t>TestApprovalCreatesTheForum</t>
        </is>
      </c>
      <c r="E87" s="3" t="inlineStr">
        <is>
          <t>test_a_forum_is_created_once</t>
        </is>
      </c>
      <c r="F87" s="3" t="inlineStr">
        <is>
          <t>whole module</t>
        </is>
      </c>
      <c r="G87" s="2" t="n">
        <v>27</v>
      </c>
      <c r="H87" s="2" t="n">
        <v>27</v>
      </c>
      <c r="I87" s="3" t="inlineStr">
        <is>
          <t>consilium/governance/tests/test_formation.py</t>
        </is>
      </c>
    </row>
    <row r="88" ht="17" customHeight="1">
      <c r="A88" s="2" t="inlineStr">
        <is>
          <t>G-5</t>
        </is>
      </c>
      <c r="B88" s="3" t="inlineStr">
        <is>
          <t>CGF</t>
        </is>
      </c>
      <c r="C88" s="3" t="inlineStr">
        <is>
          <t>governance.tests.test_formation</t>
        </is>
      </c>
      <c r="D88" s="3" t="inlineStr">
        <is>
          <t>TestApprovalCreatesTheForum</t>
        </is>
      </c>
      <c r="E88" s="3" t="inlineStr">
        <is>
          <t>test_a_forum_cannot_be_created_from_an_unapproved_request</t>
        </is>
      </c>
      <c r="F88" s="3" t="inlineStr">
        <is>
          <t>whole module</t>
        </is>
      </c>
      <c r="G88" s="2" t="n">
        <v>27</v>
      </c>
      <c r="H88" s="2" t="n">
        <v>27</v>
      </c>
      <c r="I88" s="3" t="inlineStr">
        <is>
          <t>consilium/governance/tests/test_formation.py</t>
        </is>
      </c>
    </row>
    <row r="89" ht="30" customHeight="1">
      <c r="A89" s="2" t="inlineStr">
        <is>
          <t>G-5</t>
        </is>
      </c>
      <c r="B89" s="3" t="inlineStr">
        <is>
          <t>CGF</t>
        </is>
      </c>
      <c r="C89" s="3" t="inlineStr">
        <is>
          <t>governance.tests.test_formation</t>
        </is>
      </c>
      <c r="D89" s="3" t="inlineStr">
        <is>
          <t>TestApprovalCreatesTheForum</t>
        </is>
      </c>
      <c r="E89" s="3" t="inlineStr">
        <is>
          <t>test_a_retire_request_creates_no_forum_and_marks_its_subject</t>
        </is>
      </c>
      <c r="F89" s="3" t="inlineStr">
        <is>
          <t>whole module</t>
        </is>
      </c>
      <c r="G89" s="2" t="n">
        <v>27</v>
      </c>
      <c r="H89" s="2" t="n">
        <v>27</v>
      </c>
      <c r="I89" s="3" t="inlineStr">
        <is>
          <t>consilium/governance/tests/test_formation.py</t>
        </is>
      </c>
    </row>
    <row r="90" ht="17" customHeight="1">
      <c r="A90" s="2" t="inlineStr">
        <is>
          <t>G-5</t>
        </is>
      </c>
      <c r="B90" s="3" t="inlineStr">
        <is>
          <t>CGF</t>
        </is>
      </c>
      <c r="C90" s="3" t="inlineStr">
        <is>
          <t>governance.tests.test_formation</t>
        </is>
      </c>
      <c r="D90" s="3" t="inlineStr">
        <is>
          <t>TestApprovalCreatesTheForum</t>
        </is>
      </c>
      <c r="E90" s="3" t="inlineStr">
        <is>
          <t>test_a_rejection_records_its_reason</t>
        </is>
      </c>
      <c r="F90" s="3" t="inlineStr">
        <is>
          <t>whole module</t>
        </is>
      </c>
      <c r="G90" s="2" t="n">
        <v>27</v>
      </c>
      <c r="H90" s="2" t="n">
        <v>27</v>
      </c>
      <c r="I90" s="3" t="inlineStr">
        <is>
          <t>consilium/governance/tests/test_formation.py</t>
        </is>
      </c>
    </row>
    <row r="91" ht="17" customHeight="1">
      <c r="A91" s="2" t="inlineStr">
        <is>
          <t>G-5</t>
        </is>
      </c>
      <c r="B91" s="3" t="inlineStr">
        <is>
          <t>CGF</t>
        </is>
      </c>
      <c r="C91" s="3" t="inlineStr">
        <is>
          <t>governance.tests.test_formation_portal</t>
        </is>
      </c>
      <c r="D91" s="3" t="inlineStr">
        <is>
          <t>TestStage</t>
        </is>
      </c>
      <c r="E91" s="3" t="inlineStr">
        <is>
          <t>test_the_stage_follows_the_flags_through_the_flow</t>
        </is>
      </c>
      <c r="F91" s="3" t="inlineStr">
        <is>
          <t>whole module</t>
        </is>
      </c>
      <c r="G91" s="2" t="n">
        <v>35</v>
      </c>
      <c r="H91" s="2" t="n">
        <v>35</v>
      </c>
      <c r="I91" s="3" t="inlineStr">
        <is>
          <t>consilium/governance/tests/test_formation_portal.py</t>
        </is>
      </c>
    </row>
    <row r="92" ht="30" customHeight="1">
      <c r="A92" s="2" t="inlineStr">
        <is>
          <t>G-5</t>
        </is>
      </c>
      <c r="B92" s="3" t="inlineStr">
        <is>
          <t>CGF</t>
        </is>
      </c>
      <c r="C92" s="3" t="inlineStr">
        <is>
          <t>governance.tests.test_formation_portal</t>
        </is>
      </c>
      <c r="D92" s="3" t="inlineStr">
        <is>
          <t>TestStage</t>
        </is>
      </c>
      <c r="E92" s="3" t="inlineStr">
        <is>
          <t>test_submitted_and_pending_approval_share_flags_and_are_told_apart_by_fact</t>
        </is>
      </c>
      <c r="F92" s="3" t="inlineStr">
        <is>
          <t>whole module</t>
        </is>
      </c>
      <c r="G92" s="2" t="n">
        <v>35</v>
      </c>
      <c r="H92" s="2" t="n">
        <v>35</v>
      </c>
      <c r="I92" s="3" t="inlineStr">
        <is>
          <t>consilium/governance/tests/test_formation_portal.py</t>
        </is>
      </c>
    </row>
    <row r="93" ht="30" customHeight="1">
      <c r="A93" s="2" t="inlineStr">
        <is>
          <t>G-5</t>
        </is>
      </c>
      <c r="B93" s="3" t="inlineStr">
        <is>
          <t>CGF</t>
        </is>
      </c>
      <c r="C93" s="3" t="inlineStr">
        <is>
          <t>governance.tests.test_formation_portal</t>
        </is>
      </c>
      <c r="D93" s="3" t="inlineStr">
        <is>
          <t>TestRoleRefusals</t>
        </is>
      </c>
      <c r="E93" s="3" t="inlineStr">
        <is>
          <t>test_an_office_action_is_refused_to_a_writer_without_the_role_and_audited</t>
        </is>
      </c>
      <c r="F93" s="3" t="inlineStr">
        <is>
          <t>whole module</t>
        </is>
      </c>
      <c r="G93" s="2" t="n">
        <v>35</v>
      </c>
      <c r="H93" s="2" t="n">
        <v>35</v>
      </c>
      <c r="I93" s="3" t="inlineStr">
        <is>
          <t>consilium/governance/tests/test_formation_portal.py</t>
        </is>
      </c>
    </row>
    <row r="94" ht="30" customHeight="1">
      <c r="A94" s="2" t="inlineStr">
        <is>
          <t>G-5</t>
        </is>
      </c>
      <c r="B94" s="3" t="inlineStr">
        <is>
          <t>CGF</t>
        </is>
      </c>
      <c r="C94" s="3" t="inlineStr">
        <is>
          <t>governance.tests.test_formation_portal</t>
        </is>
      </c>
      <c r="D94" s="3" t="inlineStr">
        <is>
          <t>TestRoleRefusals</t>
        </is>
      </c>
      <c r="E94" s="3" t="inlineStr">
        <is>
          <t>test_a_reader_without_write_access_is_refused_before_anything_else</t>
        </is>
      </c>
      <c r="F94" s="3" t="inlineStr">
        <is>
          <t>whole module</t>
        </is>
      </c>
      <c r="G94" s="2" t="n">
        <v>35</v>
      </c>
      <c r="H94" s="2" t="n">
        <v>35</v>
      </c>
      <c r="I94" s="3" t="inlineStr">
        <is>
          <t>consilium/governance/tests/test_formation_portal.py</t>
        </is>
      </c>
    </row>
    <row r="95" ht="30" customHeight="1">
      <c r="A95" s="2" t="inlineStr">
        <is>
          <t>G-5</t>
        </is>
      </c>
      <c r="B95" s="3" t="inlineStr">
        <is>
          <t>CGF</t>
        </is>
      </c>
      <c r="C95" s="3" t="inlineStr">
        <is>
          <t>governance.tests.test_formation_portal</t>
        </is>
      </c>
      <c r="D95" s="3" t="inlineStr">
        <is>
          <t>TestRoleRefusals</t>
        </is>
      </c>
      <c r="E95" s="3" t="inlineStr">
        <is>
          <t>test_the_bypass_belongs_to_the_designated_authority_not_the_office</t>
        </is>
      </c>
      <c r="F95" s="3" t="inlineStr">
        <is>
          <t>whole module</t>
        </is>
      </c>
      <c r="G95" s="2" t="n">
        <v>35</v>
      </c>
      <c r="H95" s="2" t="n">
        <v>35</v>
      </c>
      <c r="I95" s="3" t="inlineStr">
        <is>
          <t>consilium/governance/tests/test_formation_portal.py</t>
        </is>
      </c>
    </row>
    <row r="96" ht="30" customHeight="1">
      <c r="A96" s="2" t="inlineStr">
        <is>
          <t>G-5</t>
        </is>
      </c>
      <c r="B96" s="3" t="inlineStr">
        <is>
          <t>CGF</t>
        </is>
      </c>
      <c r="C96" s="3" t="inlineStr">
        <is>
          <t>governance.tests.test_formation_portal</t>
        </is>
      </c>
      <c r="D96" s="3" t="inlineStr">
        <is>
          <t>TestRoleRefusals</t>
        </is>
      </c>
      <c r="E96" s="3" t="inlineStr">
        <is>
          <t>test_the_review_payload_offers_the_office_its_actions_and_a_reader_none</t>
        </is>
      </c>
      <c r="F96" s="3" t="inlineStr">
        <is>
          <t>whole module</t>
        </is>
      </c>
      <c r="G96" s="2" t="n">
        <v>35</v>
      </c>
      <c r="H96" s="2" t="n">
        <v>35</v>
      </c>
      <c r="I96" s="3" t="inlineStr">
        <is>
          <t>consilium/governance/tests/test_formation_portal.py</t>
        </is>
      </c>
    </row>
    <row r="97" ht="30" customHeight="1">
      <c r="A97" s="2" t="inlineStr">
        <is>
          <t>G-5</t>
        </is>
      </c>
      <c r="B97" s="3" t="inlineStr">
        <is>
          <t>CGF</t>
        </is>
      </c>
      <c r="C97" s="3" t="inlineStr">
        <is>
          <t>governance.tests.test_formation_portal</t>
        </is>
      </c>
      <c r="D97" s="3" t="inlineStr">
        <is>
          <t>TestRoleRefusals</t>
        </is>
      </c>
      <c r="E97" s="3" t="inlineStr">
        <is>
          <t>test_the_review_payload_is_refused_to_someone_with_no_part_in_the_request</t>
        </is>
      </c>
      <c r="F97" s="3" t="inlineStr">
        <is>
          <t>whole module</t>
        </is>
      </c>
      <c r="G97" s="2" t="n">
        <v>35</v>
      </c>
      <c r="H97" s="2" t="n">
        <v>35</v>
      </c>
      <c r="I97" s="3" t="inlineStr">
        <is>
          <t>consilium/governance/tests/test_formation_portal.py</t>
        </is>
      </c>
    </row>
    <row r="98" ht="17" customHeight="1">
      <c r="A98" s="2" t="inlineStr">
        <is>
          <t>G-5</t>
        </is>
      </c>
      <c r="B98" s="3" t="inlineStr">
        <is>
          <t>CGF</t>
        </is>
      </c>
      <c r="C98" s="3" t="inlineStr">
        <is>
          <t>governance.tests.test_formation_portal</t>
        </is>
      </c>
      <c r="D98" s="3" t="inlineStr">
        <is>
          <t>TestStageRefusals</t>
        </is>
      </c>
      <c r="E98" s="3" t="inlineStr">
        <is>
          <t>test_an_action_the_stage_does_not_offer_is_refused</t>
        </is>
      </c>
      <c r="F98" s="3" t="inlineStr">
        <is>
          <t>whole module</t>
        </is>
      </c>
      <c r="G98" s="2" t="n">
        <v>35</v>
      </c>
      <c r="H98" s="2" t="n">
        <v>35</v>
      </c>
      <c r="I98" s="3" t="inlineStr">
        <is>
          <t>consilium/governance/tests/test_formation_portal.py</t>
        </is>
      </c>
    </row>
    <row r="99" ht="17" customHeight="1">
      <c r="A99" s="2" t="inlineStr">
        <is>
          <t>G-5</t>
        </is>
      </c>
      <c r="B99" s="3" t="inlineStr">
        <is>
          <t>CGF</t>
        </is>
      </c>
      <c r="C99" s="3" t="inlineStr">
        <is>
          <t>governance.tests.test_formation_portal</t>
        </is>
      </c>
      <c r="D99" s="3" t="inlineStr">
        <is>
          <t>TestStageRefusals</t>
        </is>
      </c>
      <c r="E99" s="3" t="inlineStr">
        <is>
          <t>test_a_request_is_not_submitted_twice</t>
        </is>
      </c>
      <c r="F99" s="3" t="inlineStr">
        <is>
          <t>whole module</t>
        </is>
      </c>
      <c r="G99" s="2" t="n">
        <v>35</v>
      </c>
      <c r="H99" s="2" t="n">
        <v>35</v>
      </c>
      <c r="I99" s="3" t="inlineStr">
        <is>
          <t>consilium/governance/tests/test_formation_portal.py</t>
        </is>
      </c>
    </row>
    <row r="100" ht="17" customHeight="1">
      <c r="A100" s="2" t="inlineStr">
        <is>
          <t>G-5</t>
        </is>
      </c>
      <c r="B100" s="3" t="inlineStr">
        <is>
          <t>CGF</t>
        </is>
      </c>
      <c r="C100" s="3" t="inlineStr">
        <is>
          <t>governance.tests.test_formation_portal</t>
        </is>
      </c>
      <c r="D100" s="3" t="inlineStr">
        <is>
          <t>TestStageRefusals</t>
        </is>
      </c>
      <c r="E100" s="3" t="inlineStr">
        <is>
          <t>test_nothing_reopens_a_decided_request</t>
        </is>
      </c>
      <c r="F100" s="3" t="inlineStr">
        <is>
          <t>whole module</t>
        </is>
      </c>
      <c r="G100" s="2" t="n">
        <v>35</v>
      </c>
      <c r="H100" s="2" t="n">
        <v>35</v>
      </c>
      <c r="I100" s="3" t="inlineStr">
        <is>
          <t>consilium/governance/tests/test_formation_portal.py</t>
        </is>
      </c>
    </row>
    <row r="101" ht="17" customHeight="1">
      <c r="A101" s="2" t="inlineStr">
        <is>
          <t>G-5</t>
        </is>
      </c>
      <c r="B101" s="3" t="inlineStr">
        <is>
          <t>CGF</t>
        </is>
      </c>
      <c r="C101" s="3" t="inlineStr">
        <is>
          <t>governance.tests.test_formation_portal</t>
        </is>
      </c>
      <c r="D101" s="3" t="inlineStr">
        <is>
          <t>TestReturnAndRespond</t>
        </is>
      </c>
      <c r="E101" s="3" t="inlineStr">
        <is>
          <t>test_the_exchange_runs_through_the_entry_points</t>
        </is>
      </c>
      <c r="F101" s="3" t="inlineStr">
        <is>
          <t>whole module</t>
        </is>
      </c>
      <c r="G101" s="2" t="n">
        <v>35</v>
      </c>
      <c r="H101" s="2" t="n">
        <v>35</v>
      </c>
      <c r="I101" s="3" t="inlineStr">
        <is>
          <t>consilium/governance/tests/test_formation_portal.py</t>
        </is>
      </c>
    </row>
    <row r="102" ht="30" customHeight="1">
      <c r="A102" s="2" t="inlineStr">
        <is>
          <t>G-5</t>
        </is>
      </c>
      <c r="B102" s="3" t="inlineStr">
        <is>
          <t>CGF</t>
        </is>
      </c>
      <c r="C102" s="3" t="inlineStr">
        <is>
          <t>governance.tests.test_formation_portal</t>
        </is>
      </c>
      <c r="D102" s="3" t="inlineStr">
        <is>
          <t>TestReturnAndRespond</t>
        </is>
      </c>
      <c r="E102" s="3" t="inlineStr">
        <is>
          <t>test_an_originator_who_cannot_raise_requests_can_answer_theirs</t>
        </is>
      </c>
      <c r="F102" s="3" t="inlineStr">
        <is>
          <t>whole module</t>
        </is>
      </c>
      <c r="G102" s="2" t="n">
        <v>35</v>
      </c>
      <c r="H102" s="2" t="n">
        <v>35</v>
      </c>
      <c r="I102" s="3" t="inlineStr">
        <is>
          <t>consilium/governance/tests/test_formation_portal.py</t>
        </is>
      </c>
    </row>
    <row r="103" ht="30" customHeight="1">
      <c r="A103" s="2" t="inlineStr">
        <is>
          <t>G-5</t>
        </is>
      </c>
      <c r="B103" s="3" t="inlineStr">
        <is>
          <t>CGF</t>
        </is>
      </c>
      <c r="C103" s="3" t="inlineStr">
        <is>
          <t>governance.tests.test_formation_portal</t>
        </is>
      </c>
      <c r="D103" s="3" t="inlineStr">
        <is>
          <t>TestReturnAndRespond</t>
        </is>
      </c>
      <c r="E103" s="3" t="inlineStr">
        <is>
          <t>test_a_reply_to_a_request_that_was_never_returned_is_refused</t>
        </is>
      </c>
      <c r="F103" s="3" t="inlineStr">
        <is>
          <t>whole module</t>
        </is>
      </c>
      <c r="G103" s="2" t="n">
        <v>35</v>
      </c>
      <c r="H103" s="2" t="n">
        <v>35</v>
      </c>
      <c r="I103" s="3" t="inlineStr">
        <is>
          <t>consilium/governance/tests/test_formation_portal.py</t>
        </is>
      </c>
    </row>
    <row r="104" ht="17" customHeight="1">
      <c r="A104" s="2" t="inlineStr">
        <is>
          <t>G-5</t>
        </is>
      </c>
      <c r="B104" s="3" t="inlineStr">
        <is>
          <t>CGF</t>
        </is>
      </c>
      <c r="C104" s="3" t="inlineStr">
        <is>
          <t>governance.tests.test_formation_portal</t>
        </is>
      </c>
      <c r="D104" s="3" t="inlineStr">
        <is>
          <t>TestReturnAndRespond</t>
        </is>
      </c>
      <c r="E104" s="3" t="inlineStr">
        <is>
          <t>test_only_the_originator_or_the_office_may_answer</t>
        </is>
      </c>
      <c r="F104" s="3" t="inlineStr">
        <is>
          <t>whole module</t>
        </is>
      </c>
      <c r="G104" s="2" t="n">
        <v>35</v>
      </c>
      <c r="H104" s="2" t="n">
        <v>35</v>
      </c>
      <c r="I104" s="3" t="inlineStr">
        <is>
          <t>consilium/governance/tests/test_formation_portal.py</t>
        </is>
      </c>
    </row>
    <row r="105" ht="17" customHeight="1">
      <c r="A105" s="2" t="inlineStr">
        <is>
          <t>G-5</t>
        </is>
      </c>
      <c r="B105" s="3" t="inlineStr">
        <is>
          <t>CGF</t>
        </is>
      </c>
      <c r="C105" s="3" t="inlineStr">
        <is>
          <t>governance.tests.test_formation_portal</t>
        </is>
      </c>
      <c r="D105" s="3" t="inlineStr">
        <is>
          <t>TestFindings</t>
        </is>
      </c>
      <c r="E105" s="3" t="inlineStr">
        <is>
          <t>test_findings_are_recorded_with_their_reviewer</t>
        </is>
      </c>
      <c r="F105" s="3" t="inlineStr">
        <is>
          <t>whole module</t>
        </is>
      </c>
      <c r="G105" s="2" t="n">
        <v>35</v>
      </c>
      <c r="H105" s="2" t="n">
        <v>35</v>
      </c>
      <c r="I105" s="3" t="inlineStr">
        <is>
          <t>consilium/governance/tests/test_formation_portal.py</t>
        </is>
      </c>
    </row>
    <row r="106" ht="17" customHeight="1">
      <c r="A106" s="2" t="inlineStr">
        <is>
          <t>G-5</t>
        </is>
      </c>
      <c r="B106" s="3" t="inlineStr">
        <is>
          <t>CGF</t>
        </is>
      </c>
      <c r="C106" s="3" t="inlineStr">
        <is>
          <t>governance.tests.test_formation_portal</t>
        </is>
      </c>
      <c r="D106" s="3" t="inlineStr">
        <is>
          <t>TestFindings</t>
        </is>
      </c>
      <c r="E106" s="3" t="inlineStr">
        <is>
          <t>test_a_finding_without_a_note_is_refused</t>
        </is>
      </c>
      <c r="F106" s="3" t="inlineStr">
        <is>
          <t>whole module</t>
        </is>
      </c>
      <c r="G106" s="2" t="n">
        <v>35</v>
      </c>
      <c r="H106" s="2" t="n">
        <v>35</v>
      </c>
      <c r="I106" s="3" t="inlineStr">
        <is>
          <t>consilium/governance/tests/test_formation_portal.py</t>
        </is>
      </c>
    </row>
    <row r="107" ht="17" customHeight="1">
      <c r="A107" s="2" t="inlineStr">
        <is>
          <t>G-5</t>
        </is>
      </c>
      <c r="B107" s="3" t="inlineStr">
        <is>
          <t>CGF</t>
        </is>
      </c>
      <c r="C107" s="3" t="inlineStr">
        <is>
          <t>governance.tests.test_formation_portal</t>
        </is>
      </c>
      <c r="D107" s="3" t="inlineStr">
        <is>
          <t>TestFindings</t>
        </is>
      </c>
      <c r="E107" s="3" t="inlineStr">
        <is>
          <t>test_an_unknown_criterion_or_finding_is_refused</t>
        </is>
      </c>
      <c r="F107" s="3" t="inlineStr">
        <is>
          <t>whole module</t>
        </is>
      </c>
      <c r="G107" s="2" t="n">
        <v>35</v>
      </c>
      <c r="H107" s="2" t="n">
        <v>35</v>
      </c>
      <c r="I107" s="3" t="inlineStr">
        <is>
          <t>consilium/governance/tests/test_formation_portal.py</t>
        </is>
      </c>
    </row>
    <row r="108" ht="17" customHeight="1">
      <c r="A108" s="2" t="inlineStr">
        <is>
          <t>G-5</t>
        </is>
      </c>
      <c r="B108" s="3" t="inlineStr">
        <is>
          <t>CGF</t>
        </is>
      </c>
      <c r="C108" s="3" t="inlineStr">
        <is>
          <t>governance.tests.test_formation_portal</t>
        </is>
      </c>
      <c r="D108" s="3" t="inlineStr">
        <is>
          <t>TestFindings</t>
        </is>
      </c>
      <c r="E108" s="3" t="inlineStr">
        <is>
          <t>test_findings_are_only_recorded_during_evaluation</t>
        </is>
      </c>
      <c r="F108" s="3" t="inlineStr">
        <is>
          <t>whole module</t>
        </is>
      </c>
      <c r="G108" s="2" t="n">
        <v>35</v>
      </c>
      <c r="H108" s="2" t="n">
        <v>35</v>
      </c>
      <c r="I108" s="3" t="inlineStr">
        <is>
          <t>consilium/governance/tests/test_formation_portal.py</t>
        </is>
      </c>
    </row>
    <row r="109" ht="17" customHeight="1">
      <c r="A109" s="2" t="inlineStr">
        <is>
          <t>G-5</t>
        </is>
      </c>
      <c r="B109" s="3" t="inlineStr">
        <is>
          <t>CGF</t>
        </is>
      </c>
      <c r="C109" s="3" t="inlineStr">
        <is>
          <t>governance.tests.test_formation_portal</t>
        </is>
      </c>
      <c r="D109" s="3" t="inlineStr">
        <is>
          <t>TestApprovalThroughThePortal</t>
        </is>
      </c>
      <c r="E109" s="3" t="inlineStr">
        <is>
          <t>test_the_whole_route_creates_the_forum</t>
        </is>
      </c>
      <c r="F109" s="3" t="inlineStr">
        <is>
          <t>whole module</t>
        </is>
      </c>
      <c r="G109" s="2" t="n">
        <v>35</v>
      </c>
      <c r="H109" s="2" t="n">
        <v>35</v>
      </c>
      <c r="I109" s="3" t="inlineStr">
        <is>
          <t>consilium/governance/tests/test_formation_portal.py</t>
        </is>
      </c>
    </row>
    <row r="110" ht="17" customHeight="1">
      <c r="A110" s="2" t="inlineStr">
        <is>
          <t>G-5</t>
        </is>
      </c>
      <c r="B110" s="3" t="inlineStr">
        <is>
          <t>CGF</t>
        </is>
      </c>
      <c r="C110" s="3" t="inlineStr">
        <is>
          <t>governance.tests.test_formation_portal</t>
        </is>
      </c>
      <c r="D110" s="3" t="inlineStr">
        <is>
          <t>TestApprovalThroughThePortal</t>
        </is>
      </c>
      <c r="E110" s="3" t="inlineStr">
        <is>
          <t>test_a_step_is_decided_only_by_its_assignee</t>
        </is>
      </c>
      <c r="F110" s="3" t="inlineStr">
        <is>
          <t>whole module</t>
        </is>
      </c>
      <c r="G110" s="2" t="n">
        <v>35</v>
      </c>
      <c r="H110" s="2" t="n">
        <v>35</v>
      </c>
      <c r="I110" s="3" t="inlineStr">
        <is>
          <t>consilium/governance/tests/test_formation_portal.py</t>
        </is>
      </c>
    </row>
    <row r="111" ht="17" customHeight="1">
      <c r="A111" s="2" t="inlineStr">
        <is>
          <t>G-5</t>
        </is>
      </c>
      <c r="B111" s="3" t="inlineStr">
        <is>
          <t>CGF</t>
        </is>
      </c>
      <c r="C111" s="3" t="inlineStr">
        <is>
          <t>governance.tests.test_formation_portal</t>
        </is>
      </c>
      <c r="D111" s="3" t="inlineStr">
        <is>
          <t>TestApprovalThroughThePortal</t>
        </is>
      </c>
      <c r="E111" s="3" t="inlineStr">
        <is>
          <t>test_a_refusal_carries_its_reason</t>
        </is>
      </c>
      <c r="F111" s="3" t="inlineStr">
        <is>
          <t>whole module</t>
        </is>
      </c>
      <c r="G111" s="2" t="n">
        <v>35</v>
      </c>
      <c r="H111" s="2" t="n">
        <v>35</v>
      </c>
      <c r="I111" s="3" t="inlineStr">
        <is>
          <t>consilium/governance/tests/test_formation_portal.py</t>
        </is>
      </c>
    </row>
    <row r="112" ht="17" customHeight="1">
      <c r="A112" s="2" t="inlineStr">
        <is>
          <t>G-5</t>
        </is>
      </c>
      <c r="B112" s="3" t="inlineStr">
        <is>
          <t>CGF</t>
        </is>
      </c>
      <c r="C112" s="3" t="inlineStr">
        <is>
          <t>governance.tests.test_formation_portal</t>
        </is>
      </c>
      <c r="D112" s="3" t="inlineStr">
        <is>
          <t>TestApprovalThroughThePortal</t>
        </is>
      </c>
      <c r="E112" s="3" t="inlineStr">
        <is>
          <t>test_a_refused_step_blocks_approval</t>
        </is>
      </c>
      <c r="F112" s="3" t="inlineStr">
        <is>
          <t>whole module</t>
        </is>
      </c>
      <c r="G112" s="2" t="n">
        <v>35</v>
      </c>
      <c r="H112" s="2" t="n">
        <v>35</v>
      </c>
      <c r="I112" s="3" t="inlineStr">
        <is>
          <t>consilium/governance/tests/test_formation_portal.py</t>
        </is>
      </c>
    </row>
    <row r="113" ht="17" customHeight="1">
      <c r="A113" s="2" t="inlineStr">
        <is>
          <t>G-5</t>
        </is>
      </c>
      <c r="B113" s="3" t="inlineStr">
        <is>
          <t>CGF</t>
        </is>
      </c>
      <c r="C113" s="3" t="inlineStr">
        <is>
          <t>governance.tests.test_formation_portal</t>
        </is>
      </c>
      <c r="D113" s="3" t="inlineStr">
        <is>
          <t>TestApprovalThroughThePortal</t>
        </is>
      </c>
      <c r="E113" s="3" t="inlineStr">
        <is>
          <t>test_a_decided_step_is_not_decided_again</t>
        </is>
      </c>
      <c r="F113" s="3" t="inlineStr">
        <is>
          <t>whole module</t>
        </is>
      </c>
      <c r="G113" s="2" t="n">
        <v>35</v>
      </c>
      <c r="H113" s="2" t="n">
        <v>35</v>
      </c>
      <c r="I113" s="3" t="inlineStr">
        <is>
          <t>consilium/governance/tests/test_formation_portal.py</t>
        </is>
      </c>
    </row>
    <row r="114" ht="17" customHeight="1">
      <c r="A114" s="2" t="inlineStr">
        <is>
          <t>G-5</t>
        </is>
      </c>
      <c r="B114" s="3" t="inlineStr">
        <is>
          <t>CGF</t>
        </is>
      </c>
      <c r="C114" s="3" t="inlineStr">
        <is>
          <t>governance.tests.test_formation_portal</t>
        </is>
      </c>
      <c r="D114" s="3" t="inlineStr">
        <is>
          <t>TestExceptionThroughThePortal</t>
        </is>
      </c>
      <c r="E114" s="3" t="inlineStr">
        <is>
          <t>test_the_office_raises_and_the_authority_resolves</t>
        </is>
      </c>
      <c r="F114" s="3" t="inlineStr">
        <is>
          <t>whole module</t>
        </is>
      </c>
      <c r="G114" s="2" t="n">
        <v>35</v>
      </c>
      <c r="H114" s="2" t="n">
        <v>35</v>
      </c>
      <c r="I114" s="3" t="inlineStr">
        <is>
          <t>consilium/governance/tests/test_formation_portal.py</t>
        </is>
      </c>
    </row>
    <row r="115" ht="17" customHeight="1">
      <c r="A115" s="2" t="inlineStr">
        <is>
          <t>G-5</t>
        </is>
      </c>
      <c r="B115" s="3" t="inlineStr">
        <is>
          <t>CGF</t>
        </is>
      </c>
      <c r="C115" s="3" t="inlineStr">
        <is>
          <t>governance.tests.test_formation_portal</t>
        </is>
      </c>
      <c r="D115" s="3" t="inlineStr">
        <is>
          <t>TestClosing</t>
        </is>
      </c>
      <c r="E115" s="3" t="inlineStr">
        <is>
          <t>test_a_rejection_needs_its_reason</t>
        </is>
      </c>
      <c r="F115" s="3" t="inlineStr">
        <is>
          <t>whole module</t>
        </is>
      </c>
      <c r="G115" s="2" t="n">
        <v>35</v>
      </c>
      <c r="H115" s="2" t="n">
        <v>35</v>
      </c>
      <c r="I115" s="3" t="inlineStr">
        <is>
          <t>consilium/governance/tests/test_formation_portal.py</t>
        </is>
      </c>
    </row>
    <row r="116" ht="30" customHeight="1">
      <c r="A116" s="2" t="inlineStr">
        <is>
          <t>G-5</t>
        </is>
      </c>
      <c r="B116" s="3" t="inlineStr">
        <is>
          <t>CGF</t>
        </is>
      </c>
      <c r="C116" s="3" t="inlineStr">
        <is>
          <t>governance.tests.test_formation_portal</t>
        </is>
      </c>
      <c r="D116" s="3" t="inlineStr">
        <is>
          <t>TestClosing</t>
        </is>
      </c>
      <c r="E116" s="3" t="inlineStr">
        <is>
          <t>test_the_originator_may_withdraw_their_own_request_with_a_reason</t>
        </is>
      </c>
      <c r="F116" s="3" t="inlineStr">
        <is>
          <t>whole module</t>
        </is>
      </c>
      <c r="G116" s="2" t="n">
        <v>35</v>
      </c>
      <c r="H116" s="2" t="n">
        <v>35</v>
      </c>
      <c r="I116" s="3" t="inlineStr">
        <is>
          <t>consilium/governance/tests/test_formation_portal.py</t>
        </is>
      </c>
    </row>
    <row r="117" ht="17" customHeight="1">
      <c r="A117" s="2" t="inlineStr">
        <is>
          <t>G-5</t>
        </is>
      </c>
      <c r="B117" s="3" t="inlineStr">
        <is>
          <t>CGF</t>
        </is>
      </c>
      <c r="C117" s="3" t="inlineStr">
        <is>
          <t>governance.tests.test_formation_portal</t>
        </is>
      </c>
      <c r="D117" s="3" t="inlineStr">
        <is>
          <t>TestClosing</t>
        </is>
      </c>
      <c r="E117" s="3" t="inlineStr">
        <is>
          <t>test_someone_else_may_not_withdraw_it</t>
        </is>
      </c>
      <c r="F117" s="3" t="inlineStr">
        <is>
          <t>whole module</t>
        </is>
      </c>
      <c r="G117" s="2" t="n">
        <v>35</v>
      </c>
      <c r="H117" s="2" t="n">
        <v>35</v>
      </c>
      <c r="I117" s="3" t="inlineStr">
        <is>
          <t>consilium/governance/tests/test_formation_portal.py</t>
        </is>
      </c>
    </row>
    <row r="118" ht="17" customHeight="1">
      <c r="A118" s="2" t="inlineStr">
        <is>
          <t>G-5</t>
        </is>
      </c>
      <c r="B118" s="3" t="inlineStr">
        <is>
          <t>CGF</t>
        </is>
      </c>
      <c r="C118" s="3" t="inlineStr">
        <is>
          <t>governance.tests.test_formation_portal</t>
        </is>
      </c>
      <c r="D118" s="3" t="inlineStr">
        <is>
          <t>TestNamedPeople</t>
        </is>
      </c>
      <c r="E118" s="3" t="inlineStr">
        <is>
          <t>test_only_enabled_signed_in_people_are_offered</t>
        </is>
      </c>
      <c r="F118" s="3" t="inlineStr">
        <is>
          <t>whole module</t>
        </is>
      </c>
      <c r="G118" s="2" t="n">
        <v>35</v>
      </c>
      <c r="H118" s="2" t="n">
        <v>35</v>
      </c>
      <c r="I118" s="3" t="inlineStr">
        <is>
          <t>consilium/governance/tests/test_formation_portal.py</t>
        </is>
      </c>
    </row>
    <row r="119" ht="30" customHeight="1">
      <c r="A119" s="2" t="inlineStr">
        <is>
          <t>G-5</t>
        </is>
      </c>
      <c r="B119" s="3" t="inlineStr">
        <is>
          <t>CGF</t>
        </is>
      </c>
      <c r="C119" s="3" t="inlineStr">
        <is>
          <t>governance.tests.test_formation_portal</t>
        </is>
      </c>
      <c r="D119" s="3" t="inlineStr">
        <is>
          <t>TestNamedPeople</t>
        </is>
      </c>
      <c r="E119" s="3" t="inlineStr">
        <is>
          <t>test_the_list_is_refused_to_someone_who_cannot_raise_a_request</t>
        </is>
      </c>
      <c r="F119" s="3" t="inlineStr">
        <is>
          <t>whole module</t>
        </is>
      </c>
      <c r="G119" s="2" t="n">
        <v>35</v>
      </c>
      <c r="H119" s="2" t="n">
        <v>35</v>
      </c>
      <c r="I119" s="3" t="inlineStr">
        <is>
          <t>consilium/governance/tests/test_formation_portal.py</t>
        </is>
      </c>
    </row>
    <row r="120" ht="30" customHeight="1">
      <c r="A120" s="2" t="inlineStr">
        <is>
          <t>G-5</t>
        </is>
      </c>
      <c r="B120" s="3" t="inlineStr">
        <is>
          <t>CGF</t>
        </is>
      </c>
      <c r="C120" s="3" t="inlineStr">
        <is>
          <t>governance.tests.test_formation_portal</t>
        </is>
      </c>
      <c r="D120" s="3" t="inlineStr">
        <is>
          <t>TestComplianceReviewThroughThePortal</t>
        </is>
      </c>
      <c r="E120" s="3" t="inlineStr">
        <is>
          <t>test_a_compliance_reviewer_moves_the_forum</t>
        </is>
      </c>
      <c r="F120" s="3" t="inlineStr">
        <is>
          <t>whole module</t>
        </is>
      </c>
      <c r="G120" s="2" t="n">
        <v>35</v>
      </c>
      <c r="H120" s="2" t="n">
        <v>35</v>
      </c>
      <c r="I120" s="3" t="inlineStr">
        <is>
          <t>consilium/governance/tests/test_formation_portal.py</t>
        </is>
      </c>
    </row>
    <row r="121" ht="30" customHeight="1">
      <c r="A121" s="2" t="inlineStr">
        <is>
          <t>G-5</t>
        </is>
      </c>
      <c r="B121" s="3" t="inlineStr">
        <is>
          <t>CGF</t>
        </is>
      </c>
      <c r="C121" s="3" t="inlineStr">
        <is>
          <t>governance.tests.test_formation_portal</t>
        </is>
      </c>
      <c r="D121" s="3" t="inlineStr">
        <is>
          <t>TestComplianceReviewThroughThePortal</t>
        </is>
      </c>
      <c r="E121" s="3" t="inlineStr">
        <is>
          <t>test_the_governance_office_may_not_record_one_and_is_audited</t>
        </is>
      </c>
      <c r="F121" s="3" t="inlineStr">
        <is>
          <t>whole module</t>
        </is>
      </c>
      <c r="G121" s="2" t="n">
        <v>35</v>
      </c>
      <c r="H121" s="2" t="n">
        <v>35</v>
      </c>
      <c r="I121" s="3" t="inlineStr">
        <is>
          <t>consilium/governance/tests/test_formation_portal.py</t>
        </is>
      </c>
    </row>
    <row r="122" ht="30" customHeight="1">
      <c r="A122" s="2" t="inlineStr">
        <is>
          <t>G-5</t>
        </is>
      </c>
      <c r="B122" s="3" t="inlineStr">
        <is>
          <t>CGF</t>
        </is>
      </c>
      <c r="C122" s="3" t="inlineStr">
        <is>
          <t>governance.tests.test_formation_portal</t>
        </is>
      </c>
      <c r="D122" s="3" t="inlineStr">
        <is>
          <t>TestComplianceReviewThroughThePortal</t>
        </is>
      </c>
      <c r="E122" s="3" t="inlineStr">
        <is>
          <t>test_an_annual_review_is_not_recorded_from_the_portal</t>
        </is>
      </c>
      <c r="F122" s="3" t="inlineStr">
        <is>
          <t>whole module</t>
        </is>
      </c>
      <c r="G122" s="2" t="n">
        <v>35</v>
      </c>
      <c r="H122" s="2" t="n">
        <v>35</v>
      </c>
      <c r="I122" s="3" t="inlineStr">
        <is>
          <t>consilium/governance/tests/test_formation_portal.py</t>
        </is>
      </c>
    </row>
    <row r="123" ht="30" customHeight="1">
      <c r="A123" s="2" t="inlineStr">
        <is>
          <t>G-5</t>
        </is>
      </c>
      <c r="B123" s="3" t="inlineStr">
        <is>
          <t>CGF</t>
        </is>
      </c>
      <c r="C123" s="3" t="inlineStr">
        <is>
          <t>governance.tests.test_formation_portal</t>
        </is>
      </c>
      <c r="D123" s="3" t="inlineStr">
        <is>
          <t>TestComplianceReviewThroughThePortal</t>
        </is>
      </c>
      <c r="E123" s="3" t="inlineStr">
        <is>
          <t>test_a_decision_that_needs_a_statement_is_refused_without_one</t>
        </is>
      </c>
      <c r="F123" s="3" t="inlineStr">
        <is>
          <t>whole module</t>
        </is>
      </c>
      <c r="G123" s="2" t="n">
        <v>35</v>
      </c>
      <c r="H123" s="2" t="n">
        <v>35</v>
      </c>
      <c r="I123" s="3" t="inlineStr">
        <is>
          <t>consilium/governance/tests/test_formation_portal.py</t>
        </is>
      </c>
    </row>
    <row r="124" ht="30" customHeight="1">
      <c r="A124" s="2" t="inlineStr">
        <is>
          <t>G-5</t>
        </is>
      </c>
      <c r="B124" s="3" t="inlineStr">
        <is>
          <t>CGF</t>
        </is>
      </c>
      <c r="C124" s="3" t="inlineStr">
        <is>
          <t>governance.tests.test_formation_portal</t>
        </is>
      </c>
      <c r="D124" s="3" t="inlineStr">
        <is>
          <t>TestComplianceReviewThroughThePortal</t>
        </is>
      </c>
      <c r="E124" s="3" t="inlineStr">
        <is>
          <t>test_a_disbanded_forum_is_not_reviewed_again</t>
        </is>
      </c>
      <c r="F124" s="3" t="inlineStr">
        <is>
          <t>whole module</t>
        </is>
      </c>
      <c r="G124" s="2" t="n">
        <v>35</v>
      </c>
      <c r="H124" s="2" t="n">
        <v>35</v>
      </c>
      <c r="I124" s="3" t="inlineStr">
        <is>
          <t>consilium/governance/tests/test_formation_portal.py</t>
        </is>
      </c>
    </row>
    <row r="125" ht="30" customHeight="1">
      <c r="A125" s="2" t="inlineStr">
        <is>
          <t>G-5</t>
        </is>
      </c>
      <c r="B125" s="3" t="inlineStr">
        <is>
          <t>CGF</t>
        </is>
      </c>
      <c r="C125" s="3" t="inlineStr">
        <is>
          <t>governance.tests.test_formation_portal</t>
        </is>
      </c>
      <c r="D125" s="3" t="inlineStr">
        <is>
          <t>TestComplianceReviewThroughThePortal</t>
        </is>
      </c>
      <c r="E125" s="3" t="inlineStr">
        <is>
          <t>test_the_decisions_offered_say_what_they_do</t>
        </is>
      </c>
      <c r="F125" s="3" t="inlineStr">
        <is>
          <t>whole module</t>
        </is>
      </c>
      <c r="G125" s="2" t="n">
        <v>35</v>
      </c>
      <c r="H125" s="2" t="n">
        <v>35</v>
      </c>
      <c r="I125" s="3" t="inlineStr">
        <is>
          <t>consilium/governance/tests/test_formation_portal.py</t>
        </is>
      </c>
    </row>
    <row r="126" ht="17" customHeight="1">
      <c r="A126" s="2" t="inlineStr">
        <is>
          <t>G-6</t>
        </is>
      </c>
      <c r="B126" s="3" t="inlineStr">
        <is>
          <t>CGF</t>
        </is>
      </c>
      <c r="C126" s="3" t="inlineStr">
        <is>
          <t>governance.tests.test_formation</t>
        </is>
      </c>
      <c r="D126" s="3" t="inlineStr">
        <is>
          <t>TestApprovalRoute</t>
        </is>
      </c>
      <c r="E126" s="3" t="inlineStr">
        <is>
          <t>test_the_steps_are_configuration</t>
        </is>
      </c>
      <c r="F126" s="3" t="inlineStr">
        <is>
          <t>named method</t>
        </is>
      </c>
      <c r="G126" s="2" t="n"/>
      <c r="H126" s="2" t="n">
        <v>1</v>
      </c>
      <c r="I126" s="3" t="inlineStr">
        <is>
          <t>consilium/governance/tests/test_formation.py</t>
        </is>
      </c>
    </row>
    <row r="127" ht="30" customHeight="1">
      <c r="A127" s="2" t="inlineStr">
        <is>
          <t>G-6</t>
        </is>
      </c>
      <c r="B127" s="3" t="inlineStr">
        <is>
          <t>CGF</t>
        </is>
      </c>
      <c r="C127" s="3" t="inlineStr">
        <is>
          <t>governance.tests.test_formation</t>
        </is>
      </c>
      <c r="D127" s="3" t="inlineStr">
        <is>
          <t>TestApprovalRoute</t>
        </is>
      </c>
      <c r="E127" s="3" t="inlineStr">
        <is>
          <t>test_a_route_change_changes_the_steps_without_a_deployment</t>
        </is>
      </c>
      <c r="F127" s="3" t="inlineStr">
        <is>
          <t>named method</t>
        </is>
      </c>
      <c r="G127" s="2" t="n"/>
      <c r="H127" s="2" t="n">
        <v>1</v>
      </c>
      <c r="I127" s="3" t="inlineStr">
        <is>
          <t>consilium/governance/tests/test_formation.py</t>
        </is>
      </c>
    </row>
    <row r="128" ht="17" customHeight="1">
      <c r="A128" s="2" t="inlineStr">
        <is>
          <t>G-6</t>
        </is>
      </c>
      <c r="B128" s="3" t="inlineStr">
        <is>
          <t>CGF</t>
        </is>
      </c>
      <c r="C128" s="3" t="inlineStr">
        <is>
          <t>consilium_core.tests.test_state_flags</t>
        </is>
      </c>
      <c r="D128" s="3" t="inlineStr">
        <is>
          <t>TestStateFlags</t>
        </is>
      </c>
      <c r="E128" s="3" t="inlineStr">
        <is>
          <t>test_every_seeded_state_is_configured</t>
        </is>
      </c>
      <c r="F128" s="3" t="inlineStr">
        <is>
          <t>whole class</t>
        </is>
      </c>
      <c r="G128" s="2" t="n">
        <v>7</v>
      </c>
      <c r="H128" s="2" t="n">
        <v>7</v>
      </c>
      <c r="I128" s="3" t="inlineStr">
        <is>
          <t>consilium/consilium_core/tests/test_state_flags.py</t>
        </is>
      </c>
    </row>
    <row r="129" ht="17" customHeight="1">
      <c r="A129" s="2" t="inlineStr">
        <is>
          <t>G-6</t>
        </is>
      </c>
      <c r="B129" s="3" t="inlineStr">
        <is>
          <t>CGF</t>
        </is>
      </c>
      <c r="C129" s="3" t="inlineStr">
        <is>
          <t>consilium_core.tests.test_state_flags</t>
        </is>
      </c>
      <c r="D129" s="3" t="inlineStr">
        <is>
          <t>TestStateFlags</t>
        </is>
      </c>
      <c r="E129" s="3" t="inlineStr">
        <is>
          <t>test_flags_follow_the_state_on_save</t>
        </is>
      </c>
      <c r="F129" s="3" t="inlineStr">
        <is>
          <t>whole class</t>
        </is>
      </c>
      <c r="G129" s="2" t="n">
        <v>7</v>
      </c>
      <c r="H129" s="2" t="n">
        <v>7</v>
      </c>
      <c r="I129" s="3" t="inlineStr">
        <is>
          <t>consilium/consilium_core/tests/test_state_flags.py</t>
        </is>
      </c>
    </row>
    <row r="130" ht="17" customHeight="1">
      <c r="A130" s="2" t="inlineStr">
        <is>
          <t>G-6</t>
        </is>
      </c>
      <c r="B130" s="3" t="inlineStr">
        <is>
          <t>CGF</t>
        </is>
      </c>
      <c r="C130" s="3" t="inlineStr">
        <is>
          <t>consilium_core.tests.test_state_flags</t>
        </is>
      </c>
      <c r="D130" s="3" t="inlineStr">
        <is>
          <t>TestStateFlags</t>
        </is>
      </c>
      <c r="E130" s="3" t="inlineStr">
        <is>
          <t>test_an_unconfigured_state_is_refused_rather_than_guessed</t>
        </is>
      </c>
      <c r="F130" s="3" t="inlineStr">
        <is>
          <t>whole class</t>
        </is>
      </c>
      <c r="G130" s="2" t="n">
        <v>7</v>
      </c>
      <c r="H130" s="2" t="n">
        <v>7</v>
      </c>
      <c r="I130" s="3" t="inlineStr">
        <is>
          <t>consilium/consilium_core/tests/test_state_flags.py</t>
        </is>
      </c>
    </row>
    <row r="131" ht="17" customHeight="1">
      <c r="A131" s="2" t="inlineStr">
        <is>
          <t>G-6</t>
        </is>
      </c>
      <c r="B131" s="3" t="inlineStr">
        <is>
          <t>CGF</t>
        </is>
      </c>
      <c r="C131" s="3" t="inlineStr">
        <is>
          <t>consilium_core.tests.test_state_flags</t>
        </is>
      </c>
      <c r="D131" s="3" t="inlineStr">
        <is>
          <t>TestStateFlags</t>
        </is>
      </c>
      <c r="E131" s="3" t="inlineStr">
        <is>
          <t>test_a_state_cannot_be_mapped_twice</t>
        </is>
      </c>
      <c r="F131" s="3" t="inlineStr">
        <is>
          <t>whole class</t>
        </is>
      </c>
      <c r="G131" s="2" t="n">
        <v>7</v>
      </c>
      <c r="H131" s="2" t="n">
        <v>7</v>
      </c>
      <c r="I131" s="3" t="inlineStr">
        <is>
          <t>consilium/consilium_core/tests/test_state_flags.py</t>
        </is>
      </c>
    </row>
    <row r="132" ht="17" customHeight="1">
      <c r="A132" s="2" t="inlineStr">
        <is>
          <t>G-6</t>
        </is>
      </c>
      <c r="B132" s="3" t="inlineStr">
        <is>
          <t>CGF</t>
        </is>
      </c>
      <c r="C132" s="3" t="inlineStr">
        <is>
          <t>consilium_core.tests.test_state_flags</t>
        </is>
      </c>
      <c r="D132" s="3" t="inlineStr">
        <is>
          <t>TestStateFlags</t>
        </is>
      </c>
      <c r="E132" s="3" t="inlineStr">
        <is>
          <t>test_the_checker_passes_on_the_app</t>
        </is>
      </c>
      <c r="F132" s="3" t="inlineStr">
        <is>
          <t>whole class</t>
        </is>
      </c>
      <c r="G132" s="2" t="n">
        <v>7</v>
      </c>
      <c r="H132" s="2" t="n">
        <v>7</v>
      </c>
      <c r="I132" s="3" t="inlineStr">
        <is>
          <t>consilium/consilium_core/tests/test_state_flags.py</t>
        </is>
      </c>
    </row>
    <row r="133" ht="17" customHeight="1">
      <c r="A133" s="2" t="inlineStr">
        <is>
          <t>G-6</t>
        </is>
      </c>
      <c r="B133" s="3" t="inlineStr">
        <is>
          <t>CGF</t>
        </is>
      </c>
      <c r="C133" s="3" t="inlineStr">
        <is>
          <t>consilium_core.tests.test_state_flags</t>
        </is>
      </c>
      <c r="D133" s="3" t="inlineStr">
        <is>
          <t>TestStateFlags</t>
        </is>
      </c>
      <c r="E133" s="3" t="inlineStr">
        <is>
          <t>test_the_checker_catches_a_state_name_in_a_conditional</t>
        </is>
      </c>
      <c r="F133" s="3" t="inlineStr">
        <is>
          <t>whole class</t>
        </is>
      </c>
      <c r="G133" s="2" t="n">
        <v>7</v>
      </c>
      <c r="H133" s="2" t="n">
        <v>7</v>
      </c>
      <c r="I133" s="3" t="inlineStr">
        <is>
          <t>consilium/consilium_core/tests/test_state_flags.py</t>
        </is>
      </c>
    </row>
    <row r="134" ht="17" customHeight="1">
      <c r="A134" s="2" t="inlineStr">
        <is>
          <t>G-6</t>
        </is>
      </c>
      <c r="B134" s="3" t="inlineStr">
        <is>
          <t>CGF</t>
        </is>
      </c>
      <c r="C134" s="3" t="inlineStr">
        <is>
          <t>consilium_core.tests.test_state_flags</t>
        </is>
      </c>
      <c r="D134" s="3" t="inlineStr">
        <is>
          <t>TestStateFlags</t>
        </is>
      </c>
      <c r="E134" s="3" t="inlineStr">
        <is>
          <t>test_the_checker_allows_a_state_name_being_assigned</t>
        </is>
      </c>
      <c r="F134" s="3" t="inlineStr">
        <is>
          <t>whole class</t>
        </is>
      </c>
      <c r="G134" s="2" t="n">
        <v>7</v>
      </c>
      <c r="H134" s="2" t="n">
        <v>7</v>
      </c>
      <c r="I134" s="3" t="inlineStr">
        <is>
          <t>consilium/consilium_core/tests/test_state_flags.py</t>
        </is>
      </c>
    </row>
    <row r="135" ht="17" customHeight="1">
      <c r="A135" s="2" t="inlineStr">
        <is>
          <t>G-6</t>
        </is>
      </c>
      <c r="B135" s="3" t="inlineStr">
        <is>
          <t>CGF</t>
        </is>
      </c>
      <c r="C135" s="3" t="inlineStr">
        <is>
          <t>governance.tests.test_lifecycle</t>
        </is>
      </c>
      <c r="D135" s="3" t="inlineStr">
        <is>
          <t>TestStateFlags</t>
        </is>
      </c>
      <c r="E135" s="3" t="inlineStr">
        <is>
          <t>test_every_governance_state_is_configured</t>
        </is>
      </c>
      <c r="F135" s="3" t="inlineStr">
        <is>
          <t>whole class</t>
        </is>
      </c>
      <c r="G135" s="2" t="n">
        <v>3</v>
      </c>
      <c r="H135" s="2" t="n">
        <v>3</v>
      </c>
      <c r="I135" s="3" t="inlineStr">
        <is>
          <t>consilium/governance/tests/test_lifecycle.py</t>
        </is>
      </c>
    </row>
    <row r="136" ht="17" customHeight="1">
      <c r="A136" s="2" t="inlineStr">
        <is>
          <t>G-6</t>
        </is>
      </c>
      <c r="B136" s="3" t="inlineStr">
        <is>
          <t>CGF</t>
        </is>
      </c>
      <c r="C136" s="3" t="inlineStr">
        <is>
          <t>governance.tests.test_lifecycle</t>
        </is>
      </c>
      <c r="D136" s="3" t="inlineStr">
        <is>
          <t>TestStateFlags</t>
        </is>
      </c>
      <c r="E136" s="3" t="inlineStr">
        <is>
          <t>test_the_flags_follow_the_state</t>
        </is>
      </c>
      <c r="F136" s="3" t="inlineStr">
        <is>
          <t>whole class</t>
        </is>
      </c>
      <c r="G136" s="2" t="n">
        <v>3</v>
      </c>
      <c r="H136" s="2" t="n">
        <v>3</v>
      </c>
      <c r="I136" s="3" t="inlineStr">
        <is>
          <t>consilium/governance/tests/test_lifecycle.py</t>
        </is>
      </c>
    </row>
    <row r="137" ht="17" customHeight="1">
      <c r="A137" s="2" t="inlineStr">
        <is>
          <t>G-6</t>
        </is>
      </c>
      <c r="B137" s="3" t="inlineStr">
        <is>
          <t>CGF</t>
        </is>
      </c>
      <c r="C137" s="3" t="inlineStr">
        <is>
          <t>governance.tests.test_lifecycle</t>
        </is>
      </c>
      <c r="D137" s="3" t="inlineStr">
        <is>
          <t>TestStateFlags</t>
        </is>
      </c>
      <c r="E137" s="3" t="inlineStr">
        <is>
          <t>test_an_unconfigured_state_is_refused_rather_than_guessed</t>
        </is>
      </c>
      <c r="F137" s="3" t="inlineStr">
        <is>
          <t>whole class</t>
        </is>
      </c>
      <c r="G137" s="2" t="n">
        <v>3</v>
      </c>
      <c r="H137" s="2" t="n">
        <v>3</v>
      </c>
      <c r="I137" s="3" t="inlineStr">
        <is>
          <t>consilium/governance/tests/test_lifecycle.py</t>
        </is>
      </c>
    </row>
    <row r="138" ht="17" customHeight="1">
      <c r="A138" s="2" t="inlineStr">
        <is>
          <t>G-6</t>
        </is>
      </c>
      <c r="B138" s="3" t="inlineStr">
        <is>
          <t>CGF</t>
        </is>
      </c>
      <c r="C138" s="3" t="inlineStr">
        <is>
          <t>governance.tests.test_lifecycle</t>
        </is>
      </c>
      <c r="D138" s="3" t="inlineStr">
        <is>
          <t>TestWatchedFields</t>
        </is>
      </c>
      <c r="E138" s="3" t="inlineStr">
        <is>
          <t>test_the_watched_list_is_configuration</t>
        </is>
      </c>
      <c r="F138" s="3" t="inlineStr">
        <is>
          <t>whole class</t>
        </is>
      </c>
      <c r="G138" s="2" t="n">
        <v>5</v>
      </c>
      <c r="H138" s="2" t="n">
        <v>5</v>
      </c>
      <c r="I138" s="3" t="inlineStr">
        <is>
          <t>consilium/governance/tests/test_lifecycle.py</t>
        </is>
      </c>
    </row>
    <row r="139" ht="30" customHeight="1">
      <c r="A139" s="2" t="inlineStr">
        <is>
          <t>G-6</t>
        </is>
      </c>
      <c r="B139" s="3" t="inlineStr">
        <is>
          <t>CGF</t>
        </is>
      </c>
      <c r="C139" s="3" t="inlineStr">
        <is>
          <t>governance.tests.test_lifecycle</t>
        </is>
      </c>
      <c r="D139" s="3" t="inlineStr">
        <is>
          <t>TestWatchedFields</t>
        </is>
      </c>
      <c r="E139" s="3" t="inlineStr">
        <is>
          <t>test_changing_a_watched_field_sends_the_forum_back_for_review</t>
        </is>
      </c>
      <c r="F139" s="3" t="inlineStr">
        <is>
          <t>whole class</t>
        </is>
      </c>
      <c r="G139" s="2" t="n">
        <v>5</v>
      </c>
      <c r="H139" s="2" t="n">
        <v>5</v>
      </c>
      <c r="I139" s="3" t="inlineStr">
        <is>
          <t>consilium/governance/tests/test_lifecycle.py</t>
        </is>
      </c>
    </row>
    <row r="140" ht="17" customHeight="1">
      <c r="A140" s="2" t="inlineStr">
        <is>
          <t>G-6</t>
        </is>
      </c>
      <c r="B140" s="3" t="inlineStr">
        <is>
          <t>CGF</t>
        </is>
      </c>
      <c r="C140" s="3" t="inlineStr">
        <is>
          <t>governance.tests.test_lifecycle</t>
        </is>
      </c>
      <c r="D140" s="3" t="inlineStr">
        <is>
          <t>TestWatchedFields</t>
        </is>
      </c>
      <c r="E140" s="3" t="inlineStr">
        <is>
          <t>test_changing_an_unwatched_field_does_not</t>
        </is>
      </c>
      <c r="F140" s="3" t="inlineStr">
        <is>
          <t>whole class</t>
        </is>
      </c>
      <c r="G140" s="2" t="n">
        <v>5</v>
      </c>
      <c r="H140" s="2" t="n">
        <v>5</v>
      </c>
      <c r="I140" s="3" t="inlineStr">
        <is>
          <t>consilium/governance/tests/test_lifecycle.py</t>
        </is>
      </c>
    </row>
    <row r="141" ht="17" customHeight="1">
      <c r="A141" s="2" t="inlineStr">
        <is>
          <t>G-6</t>
        </is>
      </c>
      <c r="B141" s="3" t="inlineStr">
        <is>
          <t>CGF</t>
        </is>
      </c>
      <c r="C141" s="3" t="inlineStr">
        <is>
          <t>governance.tests.test_lifecycle</t>
        </is>
      </c>
      <c r="D141" s="3" t="inlineStr">
        <is>
          <t>TestWatchedFields</t>
        </is>
      </c>
      <c r="E141" s="3" t="inlineStr">
        <is>
          <t>test_compliance_is_notified_and_a_task_is_raised</t>
        </is>
      </c>
      <c r="F141" s="3" t="inlineStr">
        <is>
          <t>whole class</t>
        </is>
      </c>
      <c r="G141" s="2" t="n">
        <v>5</v>
      </c>
      <c r="H141" s="2" t="n">
        <v>5</v>
      </c>
      <c r="I141" s="3" t="inlineStr">
        <is>
          <t>consilium/governance/tests/test_lifecycle.py</t>
        </is>
      </c>
    </row>
    <row r="142" ht="17" customHeight="1">
      <c r="A142" s="2" t="inlineStr">
        <is>
          <t>G-6</t>
        </is>
      </c>
      <c r="B142" s="3" t="inlineStr">
        <is>
          <t>CGF</t>
        </is>
      </c>
      <c r="C142" s="3" t="inlineStr">
        <is>
          <t>governance.tests.test_lifecycle</t>
        </is>
      </c>
      <c r="D142" s="3" t="inlineStr">
        <is>
          <t>TestWatchedFields</t>
        </is>
      </c>
      <c r="E142" s="3" t="inlineStr">
        <is>
          <t>test_removing_a_field_from_the_list_stops_the_trigger</t>
        </is>
      </c>
      <c r="F142" s="3" t="inlineStr">
        <is>
          <t>whole class</t>
        </is>
      </c>
      <c r="G142" s="2" t="n">
        <v>5</v>
      </c>
      <c r="H142" s="2" t="n">
        <v>5</v>
      </c>
      <c r="I142" s="3" t="inlineStr">
        <is>
          <t>consilium/governance/tests/test_lifecycle.py</t>
        </is>
      </c>
    </row>
    <row r="143" ht="17" customHeight="1">
      <c r="A143" s="2" t="inlineStr">
        <is>
          <t>G-7</t>
        </is>
      </c>
      <c r="B143" s="3" t="inlineStr">
        <is>
          <t>CGF</t>
        </is>
      </c>
      <c r="C143" s="3" t="inlineStr">
        <is>
          <t>governance.tests.test_formation</t>
        </is>
      </c>
      <c r="D143" s="3" t="inlineStr">
        <is>
          <t>TestIntake</t>
        </is>
      </c>
      <c r="E143" s="3" t="inlineStr">
        <is>
          <t>test_submission_runs_the_overlap_check</t>
        </is>
      </c>
      <c r="F143" s="3" t="inlineStr">
        <is>
          <t>named method</t>
        </is>
      </c>
      <c r="G143" s="2" t="n"/>
      <c r="H143" s="2" t="n">
        <v>1</v>
      </c>
      <c r="I143" s="3" t="inlineStr">
        <is>
          <t>consilium/governance/tests/test_formation.py</t>
        </is>
      </c>
    </row>
    <row r="144" ht="17" customHeight="1">
      <c r="A144" s="2" t="inlineStr">
        <is>
          <t>G-7</t>
        </is>
      </c>
      <c r="B144" s="3" t="inlineStr">
        <is>
          <t>CGF</t>
        </is>
      </c>
      <c r="C144" s="3" t="inlineStr">
        <is>
          <t>governance.tests.test_formation</t>
        </is>
      </c>
      <c r="D144" s="3" t="inlineStr">
        <is>
          <t>TestEvaluation</t>
        </is>
      </c>
      <c r="E144" s="3" t="inlineStr">
        <is>
          <t>test_a_finding_needs_a_comment</t>
        </is>
      </c>
      <c r="F144" s="3" t="inlineStr">
        <is>
          <t>whole class</t>
        </is>
      </c>
      <c r="G144" s="2" t="n">
        <v>4</v>
      </c>
      <c r="H144" s="2" t="n">
        <v>4</v>
      </c>
      <c r="I144" s="3" t="inlineStr">
        <is>
          <t>consilium/governance/tests/test_formation.py</t>
        </is>
      </c>
    </row>
    <row r="145" ht="17" customHeight="1">
      <c r="A145" s="2" t="inlineStr">
        <is>
          <t>G-7</t>
        </is>
      </c>
      <c r="B145" s="3" t="inlineStr">
        <is>
          <t>CGF</t>
        </is>
      </c>
      <c r="C145" s="3" t="inlineStr">
        <is>
          <t>governance.tests.test_formation</t>
        </is>
      </c>
      <c r="D145" s="3" t="inlineStr">
        <is>
          <t>TestEvaluation</t>
        </is>
      </c>
      <c r="E145" s="3" t="inlineStr">
        <is>
          <t>test_a_finding_stamps_its_reviewer</t>
        </is>
      </c>
      <c r="F145" s="3" t="inlineStr">
        <is>
          <t>whole class</t>
        </is>
      </c>
      <c r="G145" s="2" t="n">
        <v>4</v>
      </c>
      <c r="H145" s="2" t="n">
        <v>4</v>
      </c>
      <c r="I145" s="3" t="inlineStr">
        <is>
          <t>consilium/governance/tests/test_formation.py</t>
        </is>
      </c>
    </row>
    <row r="146" ht="30" customHeight="1">
      <c r="A146" s="2" t="inlineStr">
        <is>
          <t>G-7</t>
        </is>
      </c>
      <c r="B146" s="3" t="inlineStr">
        <is>
          <t>CGF</t>
        </is>
      </c>
      <c r="C146" s="3" t="inlineStr">
        <is>
          <t>governance.tests.test_formation</t>
        </is>
      </c>
      <c r="D146" s="3" t="inlineStr">
        <is>
          <t>TestEvaluation</t>
        </is>
      </c>
      <c r="E146" s="3" t="inlineStr">
        <is>
          <t>test_approval_cannot_be_sought_while_a_criterion_is_unassessed</t>
        </is>
      </c>
      <c r="F146" s="3" t="inlineStr">
        <is>
          <t>whole class</t>
        </is>
      </c>
      <c r="G146" s="2" t="n">
        <v>4</v>
      </c>
      <c r="H146" s="2" t="n">
        <v>4</v>
      </c>
      <c r="I146" s="3" t="inlineStr">
        <is>
          <t>consilium/governance/tests/test_formation.py</t>
        </is>
      </c>
    </row>
    <row r="147" ht="30" customHeight="1">
      <c r="A147" s="2" t="inlineStr">
        <is>
          <t>G-7</t>
        </is>
      </c>
      <c r="B147" s="3" t="inlineStr">
        <is>
          <t>CGF</t>
        </is>
      </c>
      <c r="C147" s="3" t="inlineStr">
        <is>
          <t>governance.tests.test_formation</t>
        </is>
      </c>
      <c r="D147" s="3" t="inlineStr">
        <is>
          <t>TestEvaluation</t>
        </is>
      </c>
      <c r="E147" s="3" t="inlineStr">
        <is>
          <t>test_approval_cannot_be_sought_without_the_completeness_confirmation</t>
        </is>
      </c>
      <c r="F147" s="3" t="inlineStr">
        <is>
          <t>whole class</t>
        </is>
      </c>
      <c r="G147" s="2" t="n">
        <v>4</v>
      </c>
      <c r="H147" s="2" t="n">
        <v>4</v>
      </c>
      <c r="I147" s="3" t="inlineStr">
        <is>
          <t>consilium/governance/tests/test_formation.py</t>
        </is>
      </c>
    </row>
    <row r="148" ht="30" customHeight="1">
      <c r="A148" s="2" t="inlineStr">
        <is>
          <t>G-7</t>
        </is>
      </c>
      <c r="B148" s="3" t="inlineStr">
        <is>
          <t>CGF</t>
        </is>
      </c>
      <c r="C148" s="3" t="inlineStr">
        <is>
          <t>governance.tests.test_governance_gaps</t>
        </is>
      </c>
      <c r="D148" s="3" t="inlineStr">
        <is>
          <t>TestFormationCharterGate</t>
        </is>
      </c>
      <c r="E148" s="3" t="inlineStr">
        <is>
          <t>test_an_uncleared_challenge_blocks_approval_until_it_is_cleared</t>
        </is>
      </c>
      <c r="F148" s="3" t="inlineStr">
        <is>
          <t>whole class</t>
        </is>
      </c>
      <c r="G148" s="2" t="n">
        <v>2</v>
      </c>
      <c r="H148" s="2" t="n">
        <v>2</v>
      </c>
      <c r="I148" s="3" t="inlineStr">
        <is>
          <t>consilium/governance/tests/test_governance_gaps.py</t>
        </is>
      </c>
    </row>
    <row r="149" ht="17" customHeight="1">
      <c r="A149" s="2" t="inlineStr">
        <is>
          <t>G-7</t>
        </is>
      </c>
      <c r="B149" s="3" t="inlineStr">
        <is>
          <t>CGF</t>
        </is>
      </c>
      <c r="C149" s="3" t="inlineStr">
        <is>
          <t>governance.tests.test_governance_gaps</t>
        </is>
      </c>
      <c r="D149" s="3" t="inlineStr">
        <is>
          <t>TestFormationCharterGate</t>
        </is>
      </c>
      <c r="E149" s="3" t="inlineStr">
        <is>
          <t>test_the_review_screen_lists_the_charter_blocker</t>
        </is>
      </c>
      <c r="F149" s="3" t="inlineStr">
        <is>
          <t>whole class</t>
        </is>
      </c>
      <c r="G149" s="2" t="n">
        <v>2</v>
      </c>
      <c r="H149" s="2" t="n">
        <v>2</v>
      </c>
      <c r="I149" s="3" t="inlineStr">
        <is>
          <t>consilium/governance/tests/test_governance_gaps.py</t>
        </is>
      </c>
    </row>
    <row r="150" ht="30" customHeight="1">
      <c r="A150" s="2" t="inlineStr">
        <is>
          <t>G-7</t>
        </is>
      </c>
      <c r="B150" s="3" t="inlineStr">
        <is>
          <t>CGF</t>
        </is>
      </c>
      <c r="C150" s="3" t="inlineStr">
        <is>
          <t>governance.tests.test_governance_gaps</t>
        </is>
      </c>
      <c r="D150" s="3" t="inlineStr">
        <is>
          <t>TestStandingGate</t>
        </is>
      </c>
      <c r="E150" s="3" t="inlineStr">
        <is>
          <t>test_a_favourable_decision_is_refused_while_the_challenge_is_open</t>
        </is>
      </c>
      <c r="F150" s="3" t="inlineStr">
        <is>
          <t>whole class</t>
        </is>
      </c>
      <c r="G150" s="2" t="n">
        <v>3</v>
      </c>
      <c r="H150" s="2" t="n">
        <v>3</v>
      </c>
      <c r="I150" s="3" t="inlineStr">
        <is>
          <t>consilium/governance/tests/test_governance_gaps.py</t>
        </is>
      </c>
    </row>
    <row r="151" ht="17" customHeight="1">
      <c r="A151" s="2" t="inlineStr">
        <is>
          <t>G-7</t>
        </is>
      </c>
      <c r="B151" s="3" t="inlineStr">
        <is>
          <t>CGF</t>
        </is>
      </c>
      <c r="C151" s="3" t="inlineStr">
        <is>
          <t>governance.tests.test_governance_gaps</t>
        </is>
      </c>
      <c r="D151" s="3" t="inlineStr">
        <is>
          <t>TestStandingGate</t>
        </is>
      </c>
      <c r="E151" s="3" t="inlineStr">
        <is>
          <t>test_a_charter_no_longer_in_force_does_not_block</t>
        </is>
      </c>
      <c r="F151" s="3" t="inlineStr">
        <is>
          <t>whole class</t>
        </is>
      </c>
      <c r="G151" s="2" t="n">
        <v>3</v>
      </c>
      <c r="H151" s="2" t="n">
        <v>3</v>
      </c>
      <c r="I151" s="3" t="inlineStr">
        <is>
          <t>consilium/governance/tests/test_governance_gaps.py</t>
        </is>
      </c>
    </row>
    <row r="152" ht="17" customHeight="1">
      <c r="A152" s="2" t="inlineStr">
        <is>
          <t>G-7</t>
        </is>
      </c>
      <c r="B152" s="3" t="inlineStr">
        <is>
          <t>CGF</t>
        </is>
      </c>
      <c r="C152" s="3" t="inlineStr">
        <is>
          <t>governance.tests.test_governance_gaps</t>
        </is>
      </c>
      <c r="D152" s="3" t="inlineStr">
        <is>
          <t>TestStandingGate</t>
        </is>
      </c>
      <c r="E152" s="3" t="inlineStr">
        <is>
          <t>test_a_review_inserted_directly_is_gated_too</t>
        </is>
      </c>
      <c r="F152" s="3" t="inlineStr">
        <is>
          <t>whole class</t>
        </is>
      </c>
      <c r="G152" s="2" t="n">
        <v>3</v>
      </c>
      <c r="H152" s="2" t="n">
        <v>3</v>
      </c>
      <c r="I152" s="3" t="inlineStr">
        <is>
          <t>consilium/governance/tests/test_governance_gaps.py</t>
        </is>
      </c>
    </row>
    <row r="153" ht="30" customHeight="1">
      <c r="A153" s="2" t="inlineStr">
        <is>
          <t>G-7</t>
        </is>
      </c>
      <c r="B153" s="3" t="inlineStr">
        <is>
          <t>CGF</t>
        </is>
      </c>
      <c r="C153" s="3" t="inlineStr">
        <is>
          <t>governance.tests.test_wave3_governance</t>
        </is>
      </c>
      <c r="D153" s="3" t="inlineStr">
        <is>
          <t>TestCharterChallengeOnTheRequest</t>
        </is>
      </c>
      <c r="E153" s="3" t="inlineStr">
        <is>
          <t>test_the_office_is_offered_the_challenge_and_its_outcome_shows</t>
        </is>
      </c>
      <c r="F153" s="3" t="inlineStr">
        <is>
          <t>whole class</t>
        </is>
      </c>
      <c r="G153" s="2" t="n">
        <v>2</v>
      </c>
      <c r="H153" s="2" t="n">
        <v>2</v>
      </c>
      <c r="I153" s="3" t="inlineStr">
        <is>
          <t>consilium/governance/tests/test_wave3_governance.py</t>
        </is>
      </c>
    </row>
    <row r="154" ht="30" customHeight="1">
      <c r="A154" s="2" t="inlineStr">
        <is>
          <t>G-7</t>
        </is>
      </c>
      <c r="B154" s="3" t="inlineStr">
        <is>
          <t>CGF</t>
        </is>
      </c>
      <c r="C154" s="3" t="inlineStr">
        <is>
          <t>governance.tests.test_wave3_governance</t>
        </is>
      </c>
      <c r="D154" s="3" t="inlineStr">
        <is>
          <t>TestCharterChallengeOnTheRequest</t>
        </is>
      </c>
      <c r="E154" s="3" t="inlineStr">
        <is>
          <t>test_the_originator_sees_the_challenge_but_is_not_offered_it</t>
        </is>
      </c>
      <c r="F154" s="3" t="inlineStr">
        <is>
          <t>whole class</t>
        </is>
      </c>
      <c r="G154" s="2" t="n">
        <v>2</v>
      </c>
      <c r="H154" s="2" t="n">
        <v>2</v>
      </c>
      <c r="I154" s="3" t="inlineStr">
        <is>
          <t>consilium/governance/tests/test_wave3_governance.py</t>
        </is>
      </c>
    </row>
    <row r="155" ht="17" customHeight="1">
      <c r="A155" s="2" t="inlineStr">
        <is>
          <t>G-7</t>
        </is>
      </c>
      <c r="B155" s="3" t="inlineStr">
        <is>
          <t>CGF</t>
        </is>
      </c>
      <c r="C155" s="3" t="inlineStr">
        <is>
          <t>governance.tests.test_charters</t>
        </is>
      </c>
      <c r="D155" s="3" t="inlineStr">
        <is>
          <t>TestEffectiveChallenge</t>
        </is>
      </c>
      <c r="E155" s="3" t="inlineStr">
        <is>
          <t>test_a_new_charter_awaits_challenge</t>
        </is>
      </c>
      <c r="F155" s="3" t="inlineStr">
        <is>
          <t>whole class</t>
        </is>
      </c>
      <c r="G155" s="2" t="n">
        <v>4</v>
      </c>
      <c r="H155" s="2" t="n">
        <v>4</v>
      </c>
      <c r="I155" s="3" t="inlineStr">
        <is>
          <t>consilium/governance/tests/test_charters.py</t>
        </is>
      </c>
    </row>
    <row r="156" ht="17" customHeight="1">
      <c r="A156" s="2" t="inlineStr">
        <is>
          <t>G-7</t>
        </is>
      </c>
      <c r="B156" s="3" t="inlineStr">
        <is>
          <t>CGF</t>
        </is>
      </c>
      <c r="C156" s="3" t="inlineStr">
        <is>
          <t>governance.tests.test_charters</t>
        </is>
      </c>
      <c r="D156" s="3" t="inlineStr">
        <is>
          <t>TestEffectiveChallenge</t>
        </is>
      </c>
      <c r="E156" s="3" t="inlineStr">
        <is>
          <t>test_requesting_changes_needs_the_changes_spelled_out</t>
        </is>
      </c>
      <c r="F156" s="3" t="inlineStr">
        <is>
          <t>whole class</t>
        </is>
      </c>
      <c r="G156" s="2" t="n">
        <v>4</v>
      </c>
      <c r="H156" s="2" t="n">
        <v>4</v>
      </c>
      <c r="I156" s="3" t="inlineStr">
        <is>
          <t>consilium/governance/tests/test_charters.py</t>
        </is>
      </c>
    </row>
    <row r="157" ht="17" customHeight="1">
      <c r="A157" s="2" t="inlineStr">
        <is>
          <t>G-7</t>
        </is>
      </c>
      <c r="B157" s="3" t="inlineStr">
        <is>
          <t>CGF</t>
        </is>
      </c>
      <c r="C157" s="3" t="inlineStr">
        <is>
          <t>governance.tests.test_charters</t>
        </is>
      </c>
      <c r="D157" s="3" t="inlineStr">
        <is>
          <t>TestEffectiveChallenge</t>
        </is>
      </c>
      <c r="E157" s="3" t="inlineStr">
        <is>
          <t>test_clearing_the_challenge_removes_that_blocker</t>
        </is>
      </c>
      <c r="F157" s="3" t="inlineStr">
        <is>
          <t>whole class</t>
        </is>
      </c>
      <c r="G157" s="2" t="n">
        <v>4</v>
      </c>
      <c r="H157" s="2" t="n">
        <v>4</v>
      </c>
      <c r="I157" s="3" t="inlineStr">
        <is>
          <t>consilium/governance/tests/test_charters.py</t>
        </is>
      </c>
    </row>
    <row r="158" ht="17" customHeight="1">
      <c r="A158" s="2" t="inlineStr">
        <is>
          <t>G-7</t>
        </is>
      </c>
      <c r="B158" s="3" t="inlineStr">
        <is>
          <t>CGF</t>
        </is>
      </c>
      <c r="C158" s="3" t="inlineStr">
        <is>
          <t>governance.tests.test_charters</t>
        </is>
      </c>
      <c r="D158" s="3" t="inlineStr">
        <is>
          <t>TestEffectiveChallenge</t>
        </is>
      </c>
      <c r="E158" s="3" t="inlineStr">
        <is>
          <t>test_a_charter_cannot_expire_before_it_takes_effect</t>
        </is>
      </c>
      <c r="F158" s="3" t="inlineStr">
        <is>
          <t>whole class</t>
        </is>
      </c>
      <c r="G158" s="2" t="n">
        <v>4</v>
      </c>
      <c r="H158" s="2" t="n">
        <v>4</v>
      </c>
      <c r="I158" s="3" t="inlineStr">
        <is>
          <t>consilium/governance/tests/test_charters.py</t>
        </is>
      </c>
    </row>
    <row r="159" ht="17" customHeight="1">
      <c r="A159" s="2" t="inlineStr">
        <is>
          <t>G-8</t>
        </is>
      </c>
      <c r="B159" s="3" t="inlineStr">
        <is>
          <t>CGF</t>
        </is>
      </c>
      <c r="C159" s="3" t="inlineStr">
        <is>
          <t>governance.tests.test_formation</t>
        </is>
      </c>
      <c r="D159" s="3" t="inlineStr">
        <is>
          <t>TestApprovalRoute</t>
        </is>
      </c>
      <c r="E159" s="3" t="inlineStr">
        <is>
          <t>test_the_steps_are_configuration</t>
        </is>
      </c>
      <c r="F159" s="3" t="inlineStr">
        <is>
          <t>whole class</t>
        </is>
      </c>
      <c r="G159" s="2" t="n">
        <v>5</v>
      </c>
      <c r="H159" s="2" t="n">
        <v>5</v>
      </c>
      <c r="I159" s="3" t="inlineStr">
        <is>
          <t>consilium/governance/tests/test_formation.py</t>
        </is>
      </c>
    </row>
    <row r="160" ht="30" customHeight="1">
      <c r="A160" s="2" t="inlineStr">
        <is>
          <t>G-8</t>
        </is>
      </c>
      <c r="B160" s="3" t="inlineStr">
        <is>
          <t>CGF</t>
        </is>
      </c>
      <c r="C160" s="3" t="inlineStr">
        <is>
          <t>governance.tests.test_formation</t>
        </is>
      </c>
      <c r="D160" s="3" t="inlineStr">
        <is>
          <t>TestApprovalRoute</t>
        </is>
      </c>
      <c r="E160" s="3" t="inlineStr">
        <is>
          <t>test_a_route_change_changes_the_steps_without_a_deployment</t>
        </is>
      </c>
      <c r="F160" s="3" t="inlineStr">
        <is>
          <t>whole class</t>
        </is>
      </c>
      <c r="G160" s="2" t="n">
        <v>5</v>
      </c>
      <c r="H160" s="2" t="n">
        <v>5</v>
      </c>
      <c r="I160" s="3" t="inlineStr">
        <is>
          <t>consilium/governance/tests/test_formation.py</t>
        </is>
      </c>
    </row>
    <row r="161" ht="17" customHeight="1">
      <c r="A161" s="2" t="inlineStr">
        <is>
          <t>G-8</t>
        </is>
      </c>
      <c r="B161" s="3" t="inlineStr">
        <is>
          <t>CGF</t>
        </is>
      </c>
      <c r="C161" s="3" t="inlineStr">
        <is>
          <t>governance.tests.test_formation</t>
        </is>
      </c>
      <c r="D161" s="3" t="inlineStr">
        <is>
          <t>TestApprovalRoute</t>
        </is>
      </c>
      <c r="E161" s="3" t="inlineStr">
        <is>
          <t>test_approval_is_refused_while_a_step_is_undecided</t>
        </is>
      </c>
      <c r="F161" s="3" t="inlineStr">
        <is>
          <t>whole class</t>
        </is>
      </c>
      <c r="G161" s="2" t="n">
        <v>5</v>
      </c>
      <c r="H161" s="2" t="n">
        <v>5</v>
      </c>
      <c r="I161" s="3" t="inlineStr">
        <is>
          <t>consilium/governance/tests/test_formation.py</t>
        </is>
      </c>
    </row>
    <row r="162" ht="30" customHeight="1">
      <c r="A162" s="2" t="inlineStr">
        <is>
          <t>G-8</t>
        </is>
      </c>
      <c r="B162" s="3" t="inlineStr">
        <is>
          <t>CGF</t>
        </is>
      </c>
      <c r="C162" s="3" t="inlineStr">
        <is>
          <t>governance.tests.test_formation</t>
        </is>
      </c>
      <c r="D162" s="3" t="inlineStr">
        <is>
          <t>TestApprovalRoute</t>
        </is>
      </c>
      <c r="E162" s="3" t="inlineStr">
        <is>
          <t>test_a_step_cannot_be_bypassed_without_a_recorded_exception</t>
        </is>
      </c>
      <c r="F162" s="3" t="inlineStr">
        <is>
          <t>whole class</t>
        </is>
      </c>
      <c r="G162" s="2" t="n">
        <v>5</v>
      </c>
      <c r="H162" s="2" t="n">
        <v>5</v>
      </c>
      <c r="I162" s="3" t="inlineStr">
        <is>
          <t>consilium/governance/tests/test_formation.py</t>
        </is>
      </c>
    </row>
    <row r="163" ht="17" customHeight="1">
      <c r="A163" s="2" t="inlineStr">
        <is>
          <t>G-8</t>
        </is>
      </c>
      <c r="B163" s="3" t="inlineStr">
        <is>
          <t>CGF</t>
        </is>
      </c>
      <c r="C163" s="3" t="inlineStr">
        <is>
          <t>governance.tests.test_formation</t>
        </is>
      </c>
      <c r="D163" s="3" t="inlineStr">
        <is>
          <t>TestApprovalRoute</t>
        </is>
      </c>
      <c r="E163" s="3" t="inlineStr">
        <is>
          <t>test_a_decided_step_leaves_the_outstanding_list</t>
        </is>
      </c>
      <c r="F163" s="3" t="inlineStr">
        <is>
          <t>whole class</t>
        </is>
      </c>
      <c r="G163" s="2" t="n">
        <v>5</v>
      </c>
      <c r="H163" s="2" t="n">
        <v>5</v>
      </c>
      <c r="I163" s="3" t="inlineStr">
        <is>
          <t>consilium/governance/tests/test_formation.py</t>
        </is>
      </c>
    </row>
    <row r="164" ht="17" customHeight="1">
      <c r="A164" s="2" t="inlineStr">
        <is>
          <t>G-8</t>
        </is>
      </c>
      <c r="B164" s="3" t="inlineStr">
        <is>
          <t>CGF</t>
        </is>
      </c>
      <c r="C164" s="3" t="inlineStr">
        <is>
          <t>governance.tests.test_formation_portal</t>
        </is>
      </c>
      <c r="D164" s="3" t="inlineStr">
        <is>
          <t>TestApprovalThroughThePortal</t>
        </is>
      </c>
      <c r="E164" s="3" t="inlineStr">
        <is>
          <t>test_the_whole_route_creates_the_forum</t>
        </is>
      </c>
      <c r="F164" s="3" t="inlineStr">
        <is>
          <t>whole class</t>
        </is>
      </c>
      <c r="G164" s="2" t="n">
        <v>5</v>
      </c>
      <c r="H164" s="2" t="n">
        <v>5</v>
      </c>
      <c r="I164" s="3" t="inlineStr">
        <is>
          <t>consilium/governance/tests/test_formation_portal.py</t>
        </is>
      </c>
    </row>
    <row r="165" ht="17" customHeight="1">
      <c r="A165" s="2" t="inlineStr">
        <is>
          <t>G-8</t>
        </is>
      </c>
      <c r="B165" s="3" t="inlineStr">
        <is>
          <t>CGF</t>
        </is>
      </c>
      <c r="C165" s="3" t="inlineStr">
        <is>
          <t>governance.tests.test_formation_portal</t>
        </is>
      </c>
      <c r="D165" s="3" t="inlineStr">
        <is>
          <t>TestApprovalThroughThePortal</t>
        </is>
      </c>
      <c r="E165" s="3" t="inlineStr">
        <is>
          <t>test_a_step_is_decided_only_by_its_assignee</t>
        </is>
      </c>
      <c r="F165" s="3" t="inlineStr">
        <is>
          <t>whole class</t>
        </is>
      </c>
      <c r="G165" s="2" t="n">
        <v>5</v>
      </c>
      <c r="H165" s="2" t="n">
        <v>5</v>
      </c>
      <c r="I165" s="3" t="inlineStr">
        <is>
          <t>consilium/governance/tests/test_formation_portal.py</t>
        </is>
      </c>
    </row>
    <row r="166" ht="17" customHeight="1">
      <c r="A166" s="2" t="inlineStr">
        <is>
          <t>G-8</t>
        </is>
      </c>
      <c r="B166" s="3" t="inlineStr">
        <is>
          <t>CGF</t>
        </is>
      </c>
      <c r="C166" s="3" t="inlineStr">
        <is>
          <t>governance.tests.test_formation_portal</t>
        </is>
      </c>
      <c r="D166" s="3" t="inlineStr">
        <is>
          <t>TestApprovalThroughThePortal</t>
        </is>
      </c>
      <c r="E166" s="3" t="inlineStr">
        <is>
          <t>test_a_refusal_carries_its_reason</t>
        </is>
      </c>
      <c r="F166" s="3" t="inlineStr">
        <is>
          <t>whole class</t>
        </is>
      </c>
      <c r="G166" s="2" t="n">
        <v>5</v>
      </c>
      <c r="H166" s="2" t="n">
        <v>5</v>
      </c>
      <c r="I166" s="3" t="inlineStr">
        <is>
          <t>consilium/governance/tests/test_formation_portal.py</t>
        </is>
      </c>
    </row>
    <row r="167" ht="17" customHeight="1">
      <c r="A167" s="2" t="inlineStr">
        <is>
          <t>G-8</t>
        </is>
      </c>
      <c r="B167" s="3" t="inlineStr">
        <is>
          <t>CGF</t>
        </is>
      </c>
      <c r="C167" s="3" t="inlineStr">
        <is>
          <t>governance.tests.test_formation_portal</t>
        </is>
      </c>
      <c r="D167" s="3" t="inlineStr">
        <is>
          <t>TestApprovalThroughThePortal</t>
        </is>
      </c>
      <c r="E167" s="3" t="inlineStr">
        <is>
          <t>test_a_refused_step_blocks_approval</t>
        </is>
      </c>
      <c r="F167" s="3" t="inlineStr">
        <is>
          <t>whole class</t>
        </is>
      </c>
      <c r="G167" s="2" t="n">
        <v>5</v>
      </c>
      <c r="H167" s="2" t="n">
        <v>5</v>
      </c>
      <c r="I167" s="3" t="inlineStr">
        <is>
          <t>consilium/governance/tests/test_formation_portal.py</t>
        </is>
      </c>
    </row>
    <row r="168" ht="17" customHeight="1">
      <c r="A168" s="2" t="inlineStr">
        <is>
          <t>G-8</t>
        </is>
      </c>
      <c r="B168" s="3" t="inlineStr">
        <is>
          <t>CGF</t>
        </is>
      </c>
      <c r="C168" s="3" t="inlineStr">
        <is>
          <t>governance.tests.test_formation_portal</t>
        </is>
      </c>
      <c r="D168" s="3" t="inlineStr">
        <is>
          <t>TestApprovalThroughThePortal</t>
        </is>
      </c>
      <c r="E168" s="3" t="inlineStr">
        <is>
          <t>test_a_decided_step_is_not_decided_again</t>
        </is>
      </c>
      <c r="F168" s="3" t="inlineStr">
        <is>
          <t>whole class</t>
        </is>
      </c>
      <c r="G168" s="2" t="n">
        <v>5</v>
      </c>
      <c r="H168" s="2" t="n">
        <v>5</v>
      </c>
      <c r="I168" s="3" t="inlineStr">
        <is>
          <t>consilium/governance/tests/test_formation_portal.py</t>
        </is>
      </c>
    </row>
    <row r="169" ht="30" customHeight="1">
      <c r="A169" s="2" t="inlineStr">
        <is>
          <t>G-8</t>
        </is>
      </c>
      <c r="B169" s="3" t="inlineStr">
        <is>
          <t>CGF</t>
        </is>
      </c>
      <c r="C169" s="3" t="inlineStr">
        <is>
          <t>consilium_core.tests.test_core_controls_wave3</t>
        </is>
      </c>
      <c r="D169" s="3" t="inlineStr">
        <is>
          <t>TestSequentialApprovals</t>
        </is>
      </c>
      <c r="E169" s="3" t="inlineStr">
        <is>
          <t>test_a_later_sequential_step_is_refused_until_the_earlier_one_is_decided</t>
        </is>
      </c>
      <c r="F169" s="3" t="inlineStr">
        <is>
          <t>whole class</t>
        </is>
      </c>
      <c r="G169" s="2" t="n">
        <v>6</v>
      </c>
      <c r="H169" s="2" t="n">
        <v>6</v>
      </c>
      <c r="I169" s="3" t="inlineStr">
        <is>
          <t>consilium/consilium_core/tests/test_core_controls_wave3.py</t>
        </is>
      </c>
    </row>
    <row r="170" ht="30" customHeight="1">
      <c r="A170" s="2" t="inlineStr">
        <is>
          <t>G-8</t>
        </is>
      </c>
      <c r="B170" s="3" t="inlineStr">
        <is>
          <t>CGF</t>
        </is>
      </c>
      <c r="C170" s="3" t="inlineStr">
        <is>
          <t>consilium_core.tests.test_core_controls_wave3</t>
        </is>
      </c>
      <c r="D170" s="3" t="inlineStr">
        <is>
          <t>TestSequentialApprovals</t>
        </is>
      </c>
      <c r="E170" s="3" t="inlineStr">
        <is>
          <t>test_a_parallel_step_does_not_wait</t>
        </is>
      </c>
      <c r="F170" s="3" t="inlineStr">
        <is>
          <t>whole class</t>
        </is>
      </c>
      <c r="G170" s="2" t="n">
        <v>6</v>
      </c>
      <c r="H170" s="2" t="n">
        <v>6</v>
      </c>
      <c r="I170" s="3" t="inlineStr">
        <is>
          <t>consilium/consilium_core/tests/test_core_controls_wave3.py</t>
        </is>
      </c>
    </row>
    <row r="171" ht="30" customHeight="1">
      <c r="A171" s="2" t="inlineStr">
        <is>
          <t>G-8</t>
        </is>
      </c>
      <c r="B171" s="3" t="inlineStr">
        <is>
          <t>CGF</t>
        </is>
      </c>
      <c r="C171" s="3" t="inlineStr">
        <is>
          <t>consilium_core.tests.test_core_controls_wave3</t>
        </is>
      </c>
      <c r="D171" s="3" t="inlineStr">
        <is>
          <t>TestSequentialApprovals</t>
        </is>
      </c>
      <c r="E171" s="3" t="inlineStr">
        <is>
          <t>test_steps_sharing_a_sequence_number_are_peers</t>
        </is>
      </c>
      <c r="F171" s="3" t="inlineStr">
        <is>
          <t>whole class</t>
        </is>
      </c>
      <c r="G171" s="2" t="n">
        <v>6</v>
      </c>
      <c r="H171" s="2" t="n">
        <v>6</v>
      </c>
      <c r="I171" s="3" t="inlineStr">
        <is>
          <t>consilium/consilium_core/tests/test_core_controls_wave3.py</t>
        </is>
      </c>
    </row>
    <row r="172" ht="30" customHeight="1">
      <c r="A172" s="2" t="inlineStr">
        <is>
          <t>G-8</t>
        </is>
      </c>
      <c r="B172" s="3" t="inlineStr">
        <is>
          <t>CGF</t>
        </is>
      </c>
      <c r="C172" s="3" t="inlineStr">
        <is>
          <t>consilium_core.tests.test_core_controls_wave3</t>
        </is>
      </c>
      <c r="D172" s="3" t="inlineStr">
        <is>
          <t>TestSequentialApprovals</t>
        </is>
      </c>
      <c r="E172" s="3" t="inlineStr">
        <is>
          <t>test_a_bypass_under_an_exception_authorisation_is_not_held_to_the_order</t>
        </is>
      </c>
      <c r="F172" s="3" t="inlineStr">
        <is>
          <t>whole class</t>
        </is>
      </c>
      <c r="G172" s="2" t="n">
        <v>6</v>
      </c>
      <c r="H172" s="2" t="n">
        <v>6</v>
      </c>
      <c r="I172" s="3" t="inlineStr">
        <is>
          <t>consilium/consilium_core/tests/test_core_controls_wave3.py</t>
        </is>
      </c>
    </row>
    <row r="173" ht="30" customHeight="1">
      <c r="A173" s="2" t="inlineStr">
        <is>
          <t>G-8</t>
        </is>
      </c>
      <c r="B173" s="3" t="inlineStr">
        <is>
          <t>CGF</t>
        </is>
      </c>
      <c r="C173" s="3" t="inlineStr">
        <is>
          <t>consilium_core.tests.test_core_controls_wave3</t>
        </is>
      </c>
      <c r="D173" s="3" t="inlineStr">
        <is>
          <t>TestSequentialApprovals</t>
        </is>
      </c>
      <c r="E173" s="3" t="inlineStr">
        <is>
          <t>test_an_earlier_cycles_open_step_does_not_block_this_cycle</t>
        </is>
      </c>
      <c r="F173" s="3" t="inlineStr">
        <is>
          <t>whole class</t>
        </is>
      </c>
      <c r="G173" s="2" t="n">
        <v>6</v>
      </c>
      <c r="H173" s="2" t="n">
        <v>6</v>
      </c>
      <c r="I173" s="3" t="inlineStr">
        <is>
          <t>consilium/consilium_core/tests/test_core_controls_wave3.py</t>
        </is>
      </c>
    </row>
    <row r="174" ht="30" customHeight="1">
      <c r="A174" s="2" t="inlineStr">
        <is>
          <t>G-8</t>
        </is>
      </c>
      <c r="B174" s="3" t="inlineStr">
        <is>
          <t>CGF</t>
        </is>
      </c>
      <c r="C174" s="3" t="inlineStr">
        <is>
          <t>consilium_core.tests.test_core_controls_wave3</t>
        </is>
      </c>
      <c r="D174" s="3" t="inlineStr">
        <is>
          <t>TestSequentialApprovals</t>
        </is>
      </c>
      <c r="E174" s="3" t="inlineStr">
        <is>
          <t>test_the_inbox_offers_a_step_only_when_it_is_the_approvers_turn</t>
        </is>
      </c>
      <c r="F174" s="3" t="inlineStr">
        <is>
          <t>whole class</t>
        </is>
      </c>
      <c r="G174" s="2" t="n">
        <v>6</v>
      </c>
      <c r="H174" s="2" t="n">
        <v>6</v>
      </c>
      <c r="I174" s="3" t="inlineStr">
        <is>
          <t>consilium/consilium_core/tests/test_core_controls_wave3.py</t>
        </is>
      </c>
    </row>
    <row r="175" ht="17" customHeight="1">
      <c r="A175" s="2" t="inlineStr">
        <is>
          <t>G-8</t>
        </is>
      </c>
      <c r="B175" s="3" t="inlineStr">
        <is>
          <t>CGF</t>
        </is>
      </c>
      <c r="C175" s="3" t="inlineStr">
        <is>
          <t>governance.tests.test_wave3_governance</t>
        </is>
      </c>
      <c r="D175" s="3" t="inlineStr">
        <is>
          <t>TestFormationStepOrder</t>
        </is>
      </c>
      <c r="E175" s="3" t="inlineStr">
        <is>
          <t>test_the_second_sequential_step_waits_for_the_first</t>
        </is>
      </c>
      <c r="F175" s="3" t="inlineStr">
        <is>
          <t>whole class</t>
        </is>
      </c>
      <c r="G175" s="2" t="n">
        <v>4</v>
      </c>
      <c r="H175" s="2" t="n">
        <v>4</v>
      </c>
      <c r="I175" s="3" t="inlineStr">
        <is>
          <t>consilium/governance/tests/test_wave3_governance.py</t>
        </is>
      </c>
    </row>
    <row r="176" ht="17" customHeight="1">
      <c r="A176" s="2" t="inlineStr">
        <is>
          <t>G-8</t>
        </is>
      </c>
      <c r="B176" s="3" t="inlineStr">
        <is>
          <t>CGF</t>
        </is>
      </c>
      <c r="C176" s="3" t="inlineStr">
        <is>
          <t>governance.tests.test_wave3_governance</t>
        </is>
      </c>
      <c r="D176" s="3" t="inlineStr">
        <is>
          <t>TestFormationStepOrder</t>
        </is>
      </c>
      <c r="E176" s="3" t="inlineStr">
        <is>
          <t>test_the_parallel_sponsor_step_is_not_held_back</t>
        </is>
      </c>
      <c r="F176" s="3" t="inlineStr">
        <is>
          <t>whole class</t>
        </is>
      </c>
      <c r="G176" s="2" t="n">
        <v>4</v>
      </c>
      <c r="H176" s="2" t="n">
        <v>4</v>
      </c>
      <c r="I176" s="3" t="inlineStr">
        <is>
          <t>consilium/governance/tests/test_wave3_governance.py</t>
        </is>
      </c>
    </row>
    <row r="177" ht="17" customHeight="1">
      <c r="A177" s="2" t="inlineStr">
        <is>
          <t>G-8</t>
        </is>
      </c>
      <c r="B177" s="3" t="inlineStr">
        <is>
          <t>CGF</t>
        </is>
      </c>
      <c r="C177" s="3" t="inlineStr">
        <is>
          <t>governance.tests.test_wave3_governance</t>
        </is>
      </c>
      <c r="D177" s="3" t="inlineStr">
        <is>
          <t>TestFormationStepOrder</t>
        </is>
      </c>
      <c r="E177" s="3" t="inlineStr">
        <is>
          <t>test_the_review_screen_offers_a_step_only_in_its_turn</t>
        </is>
      </c>
      <c r="F177" s="3" t="inlineStr">
        <is>
          <t>whole class</t>
        </is>
      </c>
      <c r="G177" s="2" t="n">
        <v>4</v>
      </c>
      <c r="H177" s="2" t="n">
        <v>4</v>
      </c>
      <c r="I177" s="3" t="inlineStr">
        <is>
          <t>consilium/governance/tests/test_wave3_governance.py</t>
        </is>
      </c>
    </row>
    <row r="178" ht="17" customHeight="1">
      <c r="A178" s="2" t="inlineStr">
        <is>
          <t>G-8</t>
        </is>
      </c>
      <c r="B178" s="3" t="inlineStr">
        <is>
          <t>CGF</t>
        </is>
      </c>
      <c r="C178" s="3" t="inlineStr">
        <is>
          <t>governance.tests.test_wave3_governance</t>
        </is>
      </c>
      <c r="D178" s="3" t="inlineStr">
        <is>
          <t>TestFormationStepOrder</t>
        </is>
      </c>
      <c r="E178" s="3" t="inlineStr">
        <is>
          <t>test_the_exception_step_is_not_held_behind_the_route</t>
        </is>
      </c>
      <c r="F178" s="3" t="inlineStr">
        <is>
          <t>whole class</t>
        </is>
      </c>
      <c r="G178" s="2" t="n">
        <v>4</v>
      </c>
      <c r="H178" s="2" t="n">
        <v>4</v>
      </c>
      <c r="I178" s="3" t="inlineStr">
        <is>
          <t>consilium/governance/tests/test_wave3_governance.py</t>
        </is>
      </c>
    </row>
    <row r="179" ht="30" customHeight="1">
      <c r="A179" s="2" t="inlineStr">
        <is>
          <t>G-8</t>
        </is>
      </c>
      <c r="B179" s="3" t="inlineStr">
        <is>
          <t>CGF</t>
        </is>
      </c>
      <c r="C179" s="3" t="inlineStr">
        <is>
          <t>governance.tests.test_w3_guides</t>
        </is>
      </c>
      <c r="D179" s="3" t="inlineStr">
        <is>
          <t>TestABypassWaivesOnlyItsOwnStep</t>
        </is>
      </c>
      <c r="E179" s="3" t="inlineStr">
        <is>
          <t>test_other_open_steps_still_block_approval_after_one_is_bypassed</t>
        </is>
      </c>
      <c r="F179" s="3" t="inlineStr">
        <is>
          <t>whole class</t>
        </is>
      </c>
      <c r="G179" s="2" t="n">
        <v>1</v>
      </c>
      <c r="H179" s="2" t="n">
        <v>1</v>
      </c>
      <c r="I179" s="3" t="inlineStr">
        <is>
          <t>consilium/governance/tests/test_w3_guides.py</t>
        </is>
      </c>
    </row>
    <row r="180" ht="30" customHeight="1">
      <c r="A180" s="2" t="inlineStr">
        <is>
          <t>G-8</t>
        </is>
      </c>
      <c r="B180" s="3" t="inlineStr">
        <is>
          <t>CGF</t>
        </is>
      </c>
      <c r="C180" s="3" t="inlineStr">
        <is>
          <t>governance.tests.test_w3_guides</t>
        </is>
      </c>
      <c r="D180" s="3" t="inlineStr">
        <is>
          <t>TestNobodyBypassesTheirOwnStep</t>
        </is>
      </c>
      <c r="E180" s="3" t="inlineStr">
        <is>
          <t>test_the_head_is_not_offered_and_is_refused_a_bypass_of_their_own_step</t>
        </is>
      </c>
      <c r="F180" s="3" t="inlineStr">
        <is>
          <t>whole class</t>
        </is>
      </c>
      <c r="G180" s="2" t="n">
        <v>2</v>
      </c>
      <c r="H180" s="2" t="n">
        <v>2</v>
      </c>
      <c r="I180" s="3" t="inlineStr">
        <is>
          <t>consilium/governance/tests/test_w3_guides.py</t>
        </is>
      </c>
    </row>
    <row r="181" ht="30" customHeight="1">
      <c r="A181" s="2" t="inlineStr">
        <is>
          <t>G-8</t>
        </is>
      </c>
      <c r="B181" s="3" t="inlineStr">
        <is>
          <t>CGF</t>
        </is>
      </c>
      <c r="C181" s="3" t="inlineStr">
        <is>
          <t>governance.tests.test_w3_guides</t>
        </is>
      </c>
      <c r="D181" s="3" t="inlineStr">
        <is>
          <t>TestNobodyBypassesTheirOwnStep</t>
        </is>
      </c>
      <c r="E181" s="3" t="inlineStr">
        <is>
          <t>test_with_only_their_own_step_open_the_bypass_action_is_off</t>
        </is>
      </c>
      <c r="F181" s="3" t="inlineStr">
        <is>
          <t>whole class</t>
        </is>
      </c>
      <c r="G181" s="2" t="n">
        <v>2</v>
      </c>
      <c r="H181" s="2" t="n">
        <v>2</v>
      </c>
      <c r="I181" s="3" t="inlineStr">
        <is>
          <t>consilium/governance/tests/test_w3_guides.py</t>
        </is>
      </c>
    </row>
    <row r="182" ht="30" customHeight="1">
      <c r="A182" s="2" t="inlineStr">
        <is>
          <t>G-8</t>
        </is>
      </c>
      <c r="B182" s="3" t="inlineStr">
        <is>
          <t>CGF</t>
        </is>
      </c>
      <c r="C182" s="3" t="inlineStr">
        <is>
          <t>governance.tests.test_w3_guides</t>
        </is>
      </c>
      <c r="D182" s="3" t="inlineStr">
        <is>
          <t>TestARoleIsAQueue</t>
        </is>
      </c>
      <c r="E182" s="3" t="inlineStr">
        <is>
          <t>test_the_queue_leaves_out_disabled_website_and_built_in_accounts</t>
        </is>
      </c>
      <c r="F182" s="3" t="inlineStr">
        <is>
          <t>whole class</t>
        </is>
      </c>
      <c r="G182" s="2" t="n">
        <v>5</v>
      </c>
      <c r="H182" s="2" t="n">
        <v>5</v>
      </c>
      <c r="I182" s="3" t="inlineStr">
        <is>
          <t>consilium/governance/tests/test_w3_guides.py</t>
        </is>
      </c>
    </row>
    <row r="183" ht="30" customHeight="1">
      <c r="A183" s="2" t="inlineStr">
        <is>
          <t>G-8</t>
        </is>
      </c>
      <c r="B183" s="3" t="inlineStr">
        <is>
          <t>CGF</t>
        </is>
      </c>
      <c r="C183" s="3" t="inlineStr">
        <is>
          <t>governance.tests.test_w3_guides</t>
        </is>
      </c>
      <c r="D183" s="3" t="inlineStr">
        <is>
          <t>TestARoleIsAQueue</t>
        </is>
      </c>
      <c r="E183" s="3" t="inlineStr">
        <is>
          <t>test_an_account_that_has_signed_in_heads_the_queue_over_one_that_never_has</t>
        </is>
      </c>
      <c r="F183" s="3" t="inlineStr">
        <is>
          <t>whole class</t>
        </is>
      </c>
      <c r="G183" s="2" t="n">
        <v>5</v>
      </c>
      <c r="H183" s="2" t="n">
        <v>5</v>
      </c>
      <c r="I183" s="3" t="inlineStr">
        <is>
          <t>consilium/governance/tests/test_w3_guides.py</t>
        </is>
      </c>
    </row>
    <row r="184" ht="30" customHeight="1">
      <c r="A184" s="2" t="inlineStr">
        <is>
          <t>G-8</t>
        </is>
      </c>
      <c r="B184" s="3" t="inlineStr">
        <is>
          <t>CGF</t>
        </is>
      </c>
      <c r="C184" s="3" t="inlineStr">
        <is>
          <t>governance.tests.test_w3_guides</t>
        </is>
      </c>
      <c r="D184" s="3" t="inlineStr">
        <is>
          <t>TestARoleIsAQueue</t>
        </is>
      </c>
      <c r="E184" s="3" t="inlineStr">
        <is>
          <t>test_a_holder_seated_in_the_requests_operating_group_heads_the_queue</t>
        </is>
      </c>
      <c r="F184" s="3" t="inlineStr">
        <is>
          <t>whole class</t>
        </is>
      </c>
      <c r="G184" s="2" t="n">
        <v>5</v>
      </c>
      <c r="H184" s="2" t="n">
        <v>5</v>
      </c>
      <c r="I184" s="3" t="inlineStr">
        <is>
          <t>consilium/governance/tests/test_w3_guides.py</t>
        </is>
      </c>
    </row>
    <row r="185" ht="30" customHeight="1">
      <c r="A185" s="2" t="inlineStr">
        <is>
          <t>G-8</t>
        </is>
      </c>
      <c r="B185" s="3" t="inlineStr">
        <is>
          <t>CGF</t>
        </is>
      </c>
      <c r="C185" s="3" t="inlineStr">
        <is>
          <t>governance.tests.test_w3_guides</t>
        </is>
      </c>
      <c r="D185" s="3" t="inlineStr">
        <is>
          <t>TestARoleIsAQueue</t>
        </is>
      </c>
      <c r="E185" s="3" t="inlineStr">
        <is>
          <t>test_any_member_of_the_queue_may_take_and_decide_a_role_based_step</t>
        </is>
      </c>
      <c r="F185" s="3" t="inlineStr">
        <is>
          <t>whole class</t>
        </is>
      </c>
      <c r="G185" s="2" t="n">
        <v>5</v>
      </c>
      <c r="H185" s="2" t="n">
        <v>5</v>
      </c>
      <c r="I185" s="3" t="inlineStr">
        <is>
          <t>consilium/governance/tests/test_w3_guides.py</t>
        </is>
      </c>
    </row>
    <row r="186" ht="17" customHeight="1">
      <c r="A186" s="2" t="inlineStr">
        <is>
          <t>G-8</t>
        </is>
      </c>
      <c r="B186" s="3" t="inlineStr">
        <is>
          <t>CGF</t>
        </is>
      </c>
      <c r="C186" s="3" t="inlineStr">
        <is>
          <t>governance.tests.test_w3_guides</t>
        </is>
      </c>
      <c r="D186" s="3" t="inlineStr">
        <is>
          <t>TestARoleIsAQueue</t>
        </is>
      </c>
      <c r="E186" s="3" t="inlineStr">
        <is>
          <t>test_a_step_named_for_a_person_is_not_a_queue</t>
        </is>
      </c>
      <c r="F186" s="3" t="inlineStr">
        <is>
          <t>whole class</t>
        </is>
      </c>
      <c r="G186" s="2" t="n">
        <v>5</v>
      </c>
      <c r="H186" s="2" t="n">
        <v>5</v>
      </c>
      <c r="I186" s="3" t="inlineStr">
        <is>
          <t>consilium/governance/tests/test_w3_guides.py</t>
        </is>
      </c>
    </row>
    <row r="187" ht="17" customHeight="1">
      <c r="A187" s="2" t="inlineStr">
        <is>
          <t>G-8</t>
        </is>
      </c>
      <c r="B187" s="3" t="inlineStr">
        <is>
          <t>CGF</t>
        </is>
      </c>
      <c r="C187" s="3" t="inlineStr">
        <is>
          <t>consilium_core.tests.test_services</t>
        </is>
      </c>
      <c r="D187" s="3" t="inlineStr">
        <is>
          <t>TestApprovals</t>
        </is>
      </c>
      <c r="E187" s="3" t="inlineStr">
        <is>
          <t>test_a_pending_decision_is_outstanding</t>
        </is>
      </c>
      <c r="F187" s="3" t="inlineStr">
        <is>
          <t>whole class</t>
        </is>
      </c>
      <c r="G187" s="2" t="n">
        <v>5</v>
      </c>
      <c r="H187" s="2" t="n">
        <v>5</v>
      </c>
      <c r="I187" s="3" t="inlineStr">
        <is>
          <t>consilium/consilium_core/tests/test_services.py</t>
        </is>
      </c>
    </row>
    <row r="188" ht="17" customHeight="1">
      <c r="A188" s="2" t="inlineStr">
        <is>
          <t>G-8</t>
        </is>
      </c>
      <c r="B188" s="3" t="inlineStr">
        <is>
          <t>CGF</t>
        </is>
      </c>
      <c r="C188" s="3" t="inlineStr">
        <is>
          <t>consilium_core.tests.test_services</t>
        </is>
      </c>
      <c r="D188" s="3" t="inlineStr">
        <is>
          <t>TestApprovals</t>
        </is>
      </c>
      <c r="E188" s="3" t="inlineStr">
        <is>
          <t>test_the_named_approver_can_decide</t>
        </is>
      </c>
      <c r="F188" s="3" t="inlineStr">
        <is>
          <t>whole class</t>
        </is>
      </c>
      <c r="G188" s="2" t="n">
        <v>5</v>
      </c>
      <c r="H188" s="2" t="n">
        <v>5</v>
      </c>
      <c r="I188" s="3" t="inlineStr">
        <is>
          <t>consilium/consilium_core/tests/test_services.py</t>
        </is>
      </c>
    </row>
    <row r="189" ht="17" customHeight="1">
      <c r="A189" s="2" t="inlineStr">
        <is>
          <t>G-8</t>
        </is>
      </c>
      <c r="B189" s="3" t="inlineStr">
        <is>
          <t>CGF</t>
        </is>
      </c>
      <c r="C189" s="3" t="inlineStr">
        <is>
          <t>consilium_core.tests.test_services</t>
        </is>
      </c>
      <c r="D189" s="3" t="inlineStr">
        <is>
          <t>TestApprovals</t>
        </is>
      </c>
      <c r="E189" s="3" t="inlineStr">
        <is>
          <t>test_a_delegate_decides_under_a_recorded_delegation</t>
        </is>
      </c>
      <c r="F189" s="3" t="inlineStr">
        <is>
          <t>whole class</t>
        </is>
      </c>
      <c r="G189" s="2" t="n">
        <v>5</v>
      </c>
      <c r="H189" s="2" t="n">
        <v>5</v>
      </c>
      <c r="I189" s="3" t="inlineStr">
        <is>
          <t>consilium/consilium_core/tests/test_services.py</t>
        </is>
      </c>
    </row>
    <row r="190" ht="17" customHeight="1">
      <c r="A190" s="2" t="inlineStr">
        <is>
          <t>G-8</t>
        </is>
      </c>
      <c r="B190" s="3" t="inlineStr">
        <is>
          <t>CGF</t>
        </is>
      </c>
      <c r="C190" s="3" t="inlineStr">
        <is>
          <t>consilium_core.tests.test_services</t>
        </is>
      </c>
      <c r="D190" s="3" t="inlineStr">
        <is>
          <t>TestApprovals</t>
        </is>
      </c>
      <c r="E190" s="3" t="inlineStr">
        <is>
          <t>test_someone_with_no_delegation_is_refused_and_audited</t>
        </is>
      </c>
      <c r="F190" s="3" t="inlineStr">
        <is>
          <t>whole class</t>
        </is>
      </c>
      <c r="G190" s="2" t="n">
        <v>5</v>
      </c>
      <c r="H190" s="2" t="n">
        <v>5</v>
      </c>
      <c r="I190" s="3" t="inlineStr">
        <is>
          <t>consilium/consilium_core/tests/test_services.py</t>
        </is>
      </c>
    </row>
    <row r="191" ht="30" customHeight="1">
      <c r="A191" s="2" t="inlineStr">
        <is>
          <t>G-8</t>
        </is>
      </c>
      <c r="B191" s="3" t="inlineStr">
        <is>
          <t>CGF</t>
        </is>
      </c>
      <c r="C191" s="3" t="inlineStr">
        <is>
          <t>consilium_core.tests.test_services</t>
        </is>
      </c>
      <c r="D191" s="3" t="inlineStr">
        <is>
          <t>TestApprovals</t>
        </is>
      </c>
      <c r="E191" s="3" t="inlineStr">
        <is>
          <t>test_the_decision_records_the_version_it_was_given_against</t>
        </is>
      </c>
      <c r="F191" s="3" t="inlineStr">
        <is>
          <t>whole class</t>
        </is>
      </c>
      <c r="G191" s="2" t="n">
        <v>5</v>
      </c>
      <c r="H191" s="2" t="n">
        <v>5</v>
      </c>
      <c r="I191" s="3" t="inlineStr">
        <is>
          <t>consilium/consilium_core/tests/test_services.py</t>
        </is>
      </c>
    </row>
    <row r="192" ht="17" customHeight="1">
      <c r="A192" s="2" t="inlineStr">
        <is>
          <t>G-9</t>
        </is>
      </c>
      <c r="B192" s="3" t="inlineStr">
        <is>
          <t>CGF</t>
        </is>
      </c>
      <c r="C192" s="3" t="inlineStr">
        <is>
          <t>consilium_core.tests.test_revision</t>
        </is>
      </c>
      <c r="D192" s="3" t="inlineStr">
        <is>
          <t>TestForumRevision</t>
        </is>
      </c>
      <c r="E192" s="3" t="inlineStr">
        <is>
          <t>test_an_unwatched_change_is_reverted_without_a_review</t>
        </is>
      </c>
      <c r="F192" s="3" t="inlineStr">
        <is>
          <t>whole class</t>
        </is>
      </c>
      <c r="G192" s="2" t="n">
        <v>5</v>
      </c>
      <c r="H192" s="2" t="n">
        <v>5</v>
      </c>
      <c r="I192" s="3" t="inlineStr">
        <is>
          <t>consilium/consilium_core/tests/test_revision.py</t>
        </is>
      </c>
    </row>
    <row r="193" ht="30" customHeight="1">
      <c r="A193" s="2" t="inlineStr">
        <is>
          <t>G-9</t>
        </is>
      </c>
      <c r="B193" s="3" t="inlineStr">
        <is>
          <t>CGF</t>
        </is>
      </c>
      <c r="C193" s="3" t="inlineStr">
        <is>
          <t>consilium_core.tests.test_revision</t>
        </is>
      </c>
      <c r="D193" s="3" t="inlineStr">
        <is>
          <t>TestForumRevision</t>
        </is>
      </c>
      <c r="E193" s="3" t="inlineStr">
        <is>
          <t>test_reverting_a_watched_field_sends_the_forum_back_for_review</t>
        </is>
      </c>
      <c r="F193" s="3" t="inlineStr">
        <is>
          <t>whole class</t>
        </is>
      </c>
      <c r="G193" s="2" t="n">
        <v>5</v>
      </c>
      <c r="H193" s="2" t="n">
        <v>5</v>
      </c>
      <c r="I193" s="3" t="inlineStr">
        <is>
          <t>consilium/consilium_core/tests/test_revision.py</t>
        </is>
      </c>
    </row>
    <row r="194" ht="17" customHeight="1">
      <c r="A194" s="2" t="inlineStr">
        <is>
          <t>G-9</t>
        </is>
      </c>
      <c r="B194" s="3" t="inlineStr">
        <is>
          <t>CGF</t>
        </is>
      </c>
      <c r="C194" s="3" t="inlineStr">
        <is>
          <t>consilium_core.tests.test_revision</t>
        </is>
      </c>
      <c r="D194" s="3" t="inlineStr">
        <is>
          <t>TestForumRevision</t>
        </is>
      </c>
      <c r="E194" s="3" t="inlineStr">
        <is>
          <t>test_a_forum_locked_for_review_cannot_be_reverted</t>
        </is>
      </c>
      <c r="F194" s="3" t="inlineStr">
        <is>
          <t>whole class</t>
        </is>
      </c>
      <c r="G194" s="2" t="n">
        <v>5</v>
      </c>
      <c r="H194" s="2" t="n">
        <v>5</v>
      </c>
      <c r="I194" s="3" t="inlineStr">
        <is>
          <t>consilium/consilium_core/tests/test_revision.py</t>
        </is>
      </c>
    </row>
    <row r="195" ht="17" customHeight="1">
      <c r="A195" s="2" t="inlineStr">
        <is>
          <t>G-9</t>
        </is>
      </c>
      <c r="B195" s="3" t="inlineStr">
        <is>
          <t>CGF</t>
        </is>
      </c>
      <c r="C195" s="3" t="inlineStr">
        <is>
          <t>consilium_core.tests.test_revision</t>
        </is>
      </c>
      <c r="D195" s="3" t="inlineStr">
        <is>
          <t>TestForumRevision</t>
        </is>
      </c>
      <c r="E195" s="3" t="inlineStr">
        <is>
          <t>test_a_forum_is_reverted_only_by_the_governance_office</t>
        </is>
      </c>
      <c r="F195" s="3" t="inlineStr">
        <is>
          <t>whole class</t>
        </is>
      </c>
      <c r="G195" s="2" t="n">
        <v>5</v>
      </c>
      <c r="H195" s="2" t="n">
        <v>5</v>
      </c>
      <c r="I195" s="3" t="inlineStr">
        <is>
          <t>consilium/consilium_core/tests/test_revision.py</t>
        </is>
      </c>
    </row>
    <row r="196" ht="17" customHeight="1">
      <c r="A196" s="2" t="inlineStr">
        <is>
          <t>G-9</t>
        </is>
      </c>
      <c r="B196" s="3" t="inlineStr">
        <is>
          <t>CGF</t>
        </is>
      </c>
      <c r="C196" s="3" t="inlineStr">
        <is>
          <t>consilium_core.tests.test_revision</t>
        </is>
      </c>
      <c r="D196" s="3" t="inlineStr">
        <is>
          <t>TestForumRevision</t>
        </is>
      </c>
      <c r="E196" s="3" t="inlineStr">
        <is>
          <t>test_lifecycle_and_derived_fields_are_never_restored</t>
        </is>
      </c>
      <c r="F196" s="3" t="inlineStr">
        <is>
          <t>whole class</t>
        </is>
      </c>
      <c r="G196" s="2" t="n">
        <v>5</v>
      </c>
      <c r="H196" s="2" t="n">
        <v>5</v>
      </c>
      <c r="I196" s="3" t="inlineStr">
        <is>
          <t>consilium/consilium_core/tests/test_revision.py</t>
        </is>
      </c>
    </row>
    <row r="197" ht="30" customHeight="1">
      <c r="A197" s="2" t="inlineStr">
        <is>
          <t>G-9</t>
        </is>
      </c>
      <c r="B197" s="3" t="inlineStr">
        <is>
          <t>CGF</t>
        </is>
      </c>
      <c r="C197" s="3" t="inlineStr">
        <is>
          <t>governance.tests.test_governance_gaps</t>
        </is>
      </c>
      <c r="D197" s="3" t="inlineStr">
        <is>
          <t>TestForumRevisionCard</t>
        </is>
      </c>
      <c r="E197" s="3" t="inlineStr">
        <is>
          <t>test_a_revert_needs_a_reason_and_then_writes_a_new_version</t>
        </is>
      </c>
      <c r="F197" s="3" t="inlineStr">
        <is>
          <t>whole class</t>
        </is>
      </c>
      <c r="G197" s="2" t="n">
        <v>1</v>
      </c>
      <c r="H197" s="2" t="n">
        <v>1</v>
      </c>
      <c r="I197" s="3" t="inlineStr">
        <is>
          <t>consilium/governance/tests/test_governance_gaps.py</t>
        </is>
      </c>
    </row>
    <row r="198" ht="30" customHeight="1">
      <c r="A198" s="2" t="inlineStr">
        <is>
          <t>G-9</t>
        </is>
      </c>
      <c r="B198" s="3" t="inlineStr">
        <is>
          <t>CGF</t>
        </is>
      </c>
      <c r="C198" s="3" t="inlineStr">
        <is>
          <t>consilium_core.tests.test_core_controls_wave3</t>
        </is>
      </c>
      <c r="D198" s="3" t="inlineStr">
        <is>
          <t>TestHistoryAndEvidencePack</t>
        </is>
      </c>
      <c r="E198" s="3" t="inlineStr">
        <is>
          <t>test_the_history_lists_changes_comments_and_notifications_in_one_list</t>
        </is>
      </c>
      <c r="F198" s="3" t="inlineStr">
        <is>
          <t>whole class</t>
        </is>
      </c>
      <c r="G198" s="2" t="n">
        <v>4</v>
      </c>
      <c r="H198" s="2" t="n">
        <v>4</v>
      </c>
      <c r="I198" s="3" t="inlineStr">
        <is>
          <t>consilium/consilium_core/tests/test_core_controls_wave3.py</t>
        </is>
      </c>
    </row>
    <row r="199" ht="30" customHeight="1">
      <c r="A199" s="2" t="inlineStr">
        <is>
          <t>G-9</t>
        </is>
      </c>
      <c r="B199" s="3" t="inlineStr">
        <is>
          <t>CGF</t>
        </is>
      </c>
      <c r="C199" s="3" t="inlineStr">
        <is>
          <t>consilium_core.tests.test_core_controls_wave3</t>
        </is>
      </c>
      <c r="D199" s="3" t="inlineStr">
        <is>
          <t>TestHistoryAndEvidencePack</t>
        </is>
      </c>
      <c r="E199" s="3" t="inlineStr">
        <is>
          <t>test_the_history_is_refused_to_someone_who_cannot_read_the_record</t>
        </is>
      </c>
      <c r="F199" s="3" t="inlineStr">
        <is>
          <t>whole class</t>
        </is>
      </c>
      <c r="G199" s="2" t="n">
        <v>4</v>
      </c>
      <c r="H199" s="2" t="n">
        <v>4</v>
      </c>
      <c r="I199" s="3" t="inlineStr">
        <is>
          <t>consilium/consilium_core/tests/test_core_controls_wave3.py</t>
        </is>
      </c>
    </row>
    <row r="200" ht="30" customHeight="1">
      <c r="A200" s="2" t="inlineStr">
        <is>
          <t>G-9</t>
        </is>
      </c>
      <c r="B200" s="3" t="inlineStr">
        <is>
          <t>CGF</t>
        </is>
      </c>
      <c r="C200" s="3" t="inlineStr">
        <is>
          <t>consilium_core.tests.test_core_controls_wave3</t>
        </is>
      </c>
      <c r="D200" s="3" t="inlineStr">
        <is>
          <t>TestHistoryAndEvidencePack</t>
        </is>
      </c>
      <c r="E200" s="3" t="inlineStr">
        <is>
          <t>test_the_pack_holds_the_record_its_history_and_a_verifiable_manifest</t>
        </is>
      </c>
      <c r="F200" s="3" t="inlineStr">
        <is>
          <t>whole class</t>
        </is>
      </c>
      <c r="G200" s="2" t="n">
        <v>4</v>
      </c>
      <c r="H200" s="2" t="n">
        <v>4</v>
      </c>
      <c r="I200" s="3" t="inlineStr">
        <is>
          <t>consilium/consilium_core/tests/test_core_controls_wave3.py</t>
        </is>
      </c>
    </row>
    <row r="201" ht="30" customHeight="1">
      <c r="A201" s="2" t="inlineStr">
        <is>
          <t>G-9</t>
        </is>
      </c>
      <c r="B201" s="3" t="inlineStr">
        <is>
          <t>CGF</t>
        </is>
      </c>
      <c r="C201" s="3" t="inlineStr">
        <is>
          <t>consilium_core.tests.test_core_controls_wave3</t>
        </is>
      </c>
      <c r="D201" s="3" t="inlineStr">
        <is>
          <t>TestHistoryAndEvidencePack</t>
        </is>
      </c>
      <c r="E201" s="3" t="inlineStr">
        <is>
          <t>test_the_pack_is_refused_without_an_evidence_role_and_the_refusal_is_audited</t>
        </is>
      </c>
      <c r="F201" s="3" t="inlineStr">
        <is>
          <t>whole class</t>
        </is>
      </c>
      <c r="G201" s="2" t="n">
        <v>4</v>
      </c>
      <c r="H201" s="2" t="n">
        <v>4</v>
      </c>
      <c r="I201" s="3" t="inlineStr">
        <is>
          <t>consilium/consilium_core/tests/test_core_controls_wave3.py</t>
        </is>
      </c>
    </row>
    <row r="202" ht="17" customHeight="1">
      <c r="A202" s="2" t="inlineStr">
        <is>
          <t>G-9</t>
        </is>
      </c>
      <c r="B202" s="3" t="inlineStr">
        <is>
          <t>CGF</t>
        </is>
      </c>
      <c r="C202" s="3" t="inlineStr">
        <is>
          <t>consilium_core.tests.test_versioning</t>
        </is>
      </c>
      <c r="D202" s="3" t="inlineStr">
        <is>
          <t>TestVersioning</t>
        </is>
      </c>
      <c r="E202" s="3" t="inlineStr">
        <is>
          <t>test_chain_is_numbered_and_linked</t>
        </is>
      </c>
      <c r="F202" s="3" t="inlineStr">
        <is>
          <t>whole class</t>
        </is>
      </c>
      <c r="G202" s="2" t="n">
        <v>9</v>
      </c>
      <c r="H202" s="2" t="n">
        <v>9</v>
      </c>
      <c r="I202" s="3" t="inlineStr">
        <is>
          <t>consilium/consilium_core/tests/test_versioning.py</t>
        </is>
      </c>
    </row>
    <row r="203" ht="17" customHeight="1">
      <c r="A203" s="2" t="inlineStr">
        <is>
          <t>G-9</t>
        </is>
      </c>
      <c r="B203" s="3" t="inlineStr">
        <is>
          <t>CGF</t>
        </is>
      </c>
      <c r="C203" s="3" t="inlineStr">
        <is>
          <t>consilium_core.tests.test_versioning</t>
        </is>
      </c>
      <c r="D203" s="3" t="inlineStr">
        <is>
          <t>TestVersioning</t>
        </is>
      </c>
      <c r="E203" s="3" t="inlineStr">
        <is>
          <t>test_snapshot_holds_the_field_state</t>
        </is>
      </c>
      <c r="F203" s="3" t="inlineStr">
        <is>
          <t>whole class</t>
        </is>
      </c>
      <c r="G203" s="2" t="n">
        <v>9</v>
      </c>
      <c r="H203" s="2" t="n">
        <v>9</v>
      </c>
      <c r="I203" s="3" t="inlineStr">
        <is>
          <t>consilium/consilium_core/tests/test_versioning.py</t>
        </is>
      </c>
    </row>
    <row r="204" ht="17" customHeight="1">
      <c r="A204" s="2" t="inlineStr">
        <is>
          <t>G-9</t>
        </is>
      </c>
      <c r="B204" s="3" t="inlineStr">
        <is>
          <t>CGF</t>
        </is>
      </c>
      <c r="C204" s="3" t="inlineStr">
        <is>
          <t>consilium_core.tests.test_versioning</t>
        </is>
      </c>
      <c r="D204" s="3" t="inlineStr">
        <is>
          <t>TestVersioning</t>
        </is>
      </c>
      <c r="E204" s="3" t="inlineStr">
        <is>
          <t>test_revert_writes_a_new_version_and_keeps_history</t>
        </is>
      </c>
      <c r="F204" s="3" t="inlineStr">
        <is>
          <t>whole class</t>
        </is>
      </c>
      <c r="G204" s="2" t="n">
        <v>9</v>
      </c>
      <c r="H204" s="2" t="n">
        <v>9</v>
      </c>
      <c r="I204" s="3" t="inlineStr">
        <is>
          <t>consilium/consilium_core/tests/test_versioning.py</t>
        </is>
      </c>
    </row>
    <row r="205" ht="17" customHeight="1">
      <c r="A205" s="2" t="inlineStr">
        <is>
          <t>G-9</t>
        </is>
      </c>
      <c r="B205" s="3" t="inlineStr">
        <is>
          <t>CGF</t>
        </is>
      </c>
      <c r="C205" s="3" t="inlineStr">
        <is>
          <t>consilium_core.tests.test_versioning</t>
        </is>
      </c>
      <c r="D205" s="3" t="inlineStr">
        <is>
          <t>TestVersioning</t>
        </is>
      </c>
      <c r="E205" s="3" t="inlineStr">
        <is>
          <t>test_revert_without_a_reason_is_refused_and_audited</t>
        </is>
      </c>
      <c r="F205" s="3" t="inlineStr">
        <is>
          <t>whole class</t>
        </is>
      </c>
      <c r="G205" s="2" t="n">
        <v>9</v>
      </c>
      <c r="H205" s="2" t="n">
        <v>9</v>
      </c>
      <c r="I205" s="3" t="inlineStr">
        <is>
          <t>consilium/consilium_core/tests/test_versioning.py</t>
        </is>
      </c>
    </row>
    <row r="206" ht="17" customHeight="1">
      <c r="A206" s="2" t="inlineStr">
        <is>
          <t>G-9</t>
        </is>
      </c>
      <c r="B206" s="3" t="inlineStr">
        <is>
          <t>CGF</t>
        </is>
      </c>
      <c r="C206" s="3" t="inlineStr">
        <is>
          <t>consilium_core.tests.test_versioning</t>
        </is>
      </c>
      <c r="D206" s="3" t="inlineStr">
        <is>
          <t>TestVersioning</t>
        </is>
      </c>
      <c r="E206" s="3" t="inlineStr">
        <is>
          <t>test_a_version_row_cannot_be_edited</t>
        </is>
      </c>
      <c r="F206" s="3" t="inlineStr">
        <is>
          <t>whole class</t>
        </is>
      </c>
      <c r="G206" s="2" t="n">
        <v>9</v>
      </c>
      <c r="H206" s="2" t="n">
        <v>9</v>
      </c>
      <c r="I206" s="3" t="inlineStr">
        <is>
          <t>consilium/consilium_core/tests/test_versioning.py</t>
        </is>
      </c>
    </row>
    <row r="207" ht="17" customHeight="1">
      <c r="A207" s="2" t="inlineStr">
        <is>
          <t>G-9</t>
        </is>
      </c>
      <c r="B207" s="3" t="inlineStr">
        <is>
          <t>CGF</t>
        </is>
      </c>
      <c r="C207" s="3" t="inlineStr">
        <is>
          <t>consilium_core.tests.test_versioning</t>
        </is>
      </c>
      <c r="D207" s="3" t="inlineStr">
        <is>
          <t>TestVersioning</t>
        </is>
      </c>
      <c r="E207" s="3" t="inlineStr">
        <is>
          <t>test_a_version_row_cannot_be_deleted</t>
        </is>
      </c>
      <c r="F207" s="3" t="inlineStr">
        <is>
          <t>whole class</t>
        </is>
      </c>
      <c r="G207" s="2" t="n">
        <v>9</v>
      </c>
      <c r="H207" s="2" t="n">
        <v>9</v>
      </c>
      <c r="I207" s="3" t="inlineStr">
        <is>
          <t>consilium/consilium_core/tests/test_versioning.py</t>
        </is>
      </c>
    </row>
    <row r="208" ht="17" customHeight="1">
      <c r="A208" s="2" t="inlineStr">
        <is>
          <t>G-9</t>
        </is>
      </c>
      <c r="B208" s="3" t="inlineStr">
        <is>
          <t>CGF</t>
        </is>
      </c>
      <c r="C208" s="3" t="inlineStr">
        <is>
          <t>consilium_core.tests.test_versioning</t>
        </is>
      </c>
      <c r="D208" s="3" t="inlineStr">
        <is>
          <t>TestVersioning</t>
        </is>
      </c>
      <c r="E208" s="3" t="inlineStr">
        <is>
          <t>test_revert_to_the_current_version_is_rejected</t>
        </is>
      </c>
      <c r="F208" s="3" t="inlineStr">
        <is>
          <t>whole class</t>
        </is>
      </c>
      <c r="G208" s="2" t="n">
        <v>9</v>
      </c>
      <c r="H208" s="2" t="n">
        <v>9</v>
      </c>
      <c r="I208" s="3" t="inlineStr">
        <is>
          <t>consilium/consilium_core/tests/test_versioning.py</t>
        </is>
      </c>
    </row>
    <row r="209" ht="17" customHeight="1">
      <c r="A209" s="2" t="inlineStr">
        <is>
          <t>G-9</t>
        </is>
      </c>
      <c r="B209" s="3" t="inlineStr">
        <is>
          <t>CGF</t>
        </is>
      </c>
      <c r="C209" s="3" t="inlineStr">
        <is>
          <t>consilium_core.tests.test_versioning</t>
        </is>
      </c>
      <c r="D209" s="3" t="inlineStr">
        <is>
          <t>TestVersioning</t>
        </is>
      </c>
      <c r="E209" s="3" t="inlineStr">
        <is>
          <t>test_revert_to_a_foreign_version_is_rejected</t>
        </is>
      </c>
      <c r="F209" s="3" t="inlineStr">
        <is>
          <t>whole class</t>
        </is>
      </c>
      <c r="G209" s="2" t="n">
        <v>9</v>
      </c>
      <c r="H209" s="2" t="n">
        <v>9</v>
      </c>
      <c r="I209" s="3" t="inlineStr">
        <is>
          <t>consilium/consilium_core/tests/test_versioning.py</t>
        </is>
      </c>
    </row>
    <row r="210" ht="17" customHeight="1">
      <c r="A210" s="2" t="inlineStr">
        <is>
          <t>G-9</t>
        </is>
      </c>
      <c r="B210" s="3" t="inlineStr">
        <is>
          <t>CGF</t>
        </is>
      </c>
      <c r="C210" s="3" t="inlineStr">
        <is>
          <t>consilium_core.tests.test_versioning</t>
        </is>
      </c>
      <c r="D210" s="3" t="inlineStr">
        <is>
          <t>TestVersioning</t>
        </is>
      </c>
      <c r="E210" s="3" t="inlineStr">
        <is>
          <t>test_two_current_versions_are_refused</t>
        </is>
      </c>
      <c r="F210" s="3" t="inlineStr">
        <is>
          <t>whole class</t>
        </is>
      </c>
      <c r="G210" s="2" t="n">
        <v>9</v>
      </c>
      <c r="H210" s="2" t="n">
        <v>9</v>
      </c>
      <c r="I210" s="3" t="inlineStr">
        <is>
          <t>consilium/consilium_core/tests/test_versioning.py</t>
        </is>
      </c>
    </row>
    <row r="211" ht="17" customHeight="1">
      <c r="A211" s="2" t="inlineStr">
        <is>
          <t>G-9</t>
        </is>
      </c>
      <c r="B211" s="3" t="inlineStr">
        <is>
          <t>CGF</t>
        </is>
      </c>
      <c r="C211" s="3" t="inlineStr">
        <is>
          <t>consilium_core.tests.test_entities</t>
        </is>
      </c>
      <c r="D211" s="3" t="inlineStr">
        <is>
          <t>TestEntityStructure</t>
        </is>
      </c>
      <c r="E211" s="3" t="inlineStr">
        <is>
          <t>test_governed_entities_keep_their_change_history</t>
        </is>
      </c>
      <c r="F211" s="3" t="inlineStr">
        <is>
          <t>named method</t>
        </is>
      </c>
      <c r="G211" s="2" t="n"/>
      <c r="H211" s="2" t="n">
        <v>1</v>
      </c>
      <c r="I211" s="3" t="inlineStr">
        <is>
          <t>consilium/consilium_core/tests/test_entities.py</t>
        </is>
      </c>
    </row>
    <row r="212" ht="30" customHeight="1">
      <c r="A212" s="2" t="inlineStr">
        <is>
          <t>G-10</t>
        </is>
      </c>
      <c r="B212" s="3" t="inlineStr">
        <is>
          <t>CGF</t>
        </is>
      </c>
      <c r="C212" s="3" t="inlineStr">
        <is>
          <t>consilium_core.tests.test_attestation</t>
        </is>
      </c>
      <c r="D212" s="3" t="inlineStr">
        <is>
          <t>TestAttestation</t>
        </is>
      </c>
      <c r="E212" s="3" t="inlineStr">
        <is>
          <t>test_the_campaign_carries_semantic_flags_not_a_label_check</t>
        </is>
      </c>
      <c r="F212" s="3" t="inlineStr">
        <is>
          <t>whole class</t>
        </is>
      </c>
      <c r="G212" s="2" t="n">
        <v>13</v>
      </c>
      <c r="H212" s="2" t="n">
        <v>13</v>
      </c>
      <c r="I212" s="3" t="inlineStr">
        <is>
          <t>consilium/consilium_core/tests/test_attestation.py</t>
        </is>
      </c>
    </row>
    <row r="213" ht="17" customHeight="1">
      <c r="A213" s="2" t="inlineStr">
        <is>
          <t>G-10</t>
        </is>
      </c>
      <c r="B213" s="3" t="inlineStr">
        <is>
          <t>CGF</t>
        </is>
      </c>
      <c r="C213" s="3" t="inlineStr">
        <is>
          <t>consilium_core.tests.test_attestation</t>
        </is>
      </c>
      <c r="D213" s="3" t="inlineStr">
        <is>
          <t>TestAttestation</t>
        </is>
      </c>
      <c r="E213" s="3" t="inlineStr">
        <is>
          <t>test_the_population_is_derived_from_live_data</t>
        </is>
      </c>
      <c r="F213" s="3" t="inlineStr">
        <is>
          <t>whole class</t>
        </is>
      </c>
      <c r="G213" s="2" t="n">
        <v>13</v>
      </c>
      <c r="H213" s="2" t="n">
        <v>13</v>
      </c>
      <c r="I213" s="3" t="inlineStr">
        <is>
          <t>consilium/consilium_core/tests/test_attestation.py</t>
        </is>
      </c>
    </row>
    <row r="214" ht="30" customHeight="1">
      <c r="A214" s="2" t="inlineStr">
        <is>
          <t>G-10</t>
        </is>
      </c>
      <c r="B214" s="3" t="inlineStr">
        <is>
          <t>CGF</t>
        </is>
      </c>
      <c r="C214" s="3" t="inlineStr">
        <is>
          <t>consilium_core.tests.test_attestation</t>
        </is>
      </c>
      <c r="D214" s="3" t="inlineStr">
        <is>
          <t>TestAttestation</t>
        </is>
      </c>
      <c r="E214" s="3" t="inlineStr">
        <is>
          <t>test_generation_creates_one_task_per_record_and_participant</t>
        </is>
      </c>
      <c r="F214" s="3" t="inlineStr">
        <is>
          <t>whole class</t>
        </is>
      </c>
      <c r="G214" s="2" t="n">
        <v>13</v>
      </c>
      <c r="H214" s="2" t="n">
        <v>13</v>
      </c>
      <c r="I214" s="3" t="inlineStr">
        <is>
          <t>consilium/consilium_core/tests/test_attestation.py</t>
        </is>
      </c>
    </row>
    <row r="215" ht="17" customHeight="1">
      <c r="A215" s="2" t="inlineStr">
        <is>
          <t>G-10</t>
        </is>
      </c>
      <c r="B215" s="3" t="inlineStr">
        <is>
          <t>CGF</t>
        </is>
      </c>
      <c r="C215" s="3" t="inlineStr">
        <is>
          <t>consilium_core.tests.test_attestation</t>
        </is>
      </c>
      <c r="D215" s="3" t="inlineStr">
        <is>
          <t>TestAttestation</t>
        </is>
      </c>
      <c r="E215" s="3" t="inlineStr">
        <is>
          <t>test_regenerating_does_not_duplicate_an_open_task</t>
        </is>
      </c>
      <c r="F215" s="3" t="inlineStr">
        <is>
          <t>whole class</t>
        </is>
      </c>
      <c r="G215" s="2" t="n">
        <v>13</v>
      </c>
      <c r="H215" s="2" t="n">
        <v>13</v>
      </c>
      <c r="I215" s="3" t="inlineStr">
        <is>
          <t>consilium/consilium_core/tests/test_attestation.py</t>
        </is>
      </c>
    </row>
    <row r="216" ht="30" customHeight="1">
      <c r="A216" s="2" t="inlineStr">
        <is>
          <t>G-10</t>
        </is>
      </c>
      <c r="B216" s="3" t="inlineStr">
        <is>
          <t>CGF</t>
        </is>
      </c>
      <c r="C216" s="3" t="inlineStr">
        <is>
          <t>consilium_core.tests.test_attestation</t>
        </is>
      </c>
      <c r="D216" s="3" t="inlineStr">
        <is>
          <t>TestAttestation</t>
        </is>
      </c>
      <c r="E216" s="3" t="inlineStr">
        <is>
          <t>test_regeneration_picks_up_a_record_added_after_the_campaign_opened</t>
        </is>
      </c>
      <c r="F216" s="3" t="inlineStr">
        <is>
          <t>whole class</t>
        </is>
      </c>
      <c r="G216" s="2" t="n">
        <v>13</v>
      </c>
      <c r="H216" s="2" t="n">
        <v>13</v>
      </c>
      <c r="I216" s="3" t="inlineStr">
        <is>
          <t>consilium/consilium_core/tests/test_attestation.py</t>
        </is>
      </c>
    </row>
    <row r="217" ht="17" customHeight="1">
      <c r="A217" s="2" t="inlineStr">
        <is>
          <t>G-10</t>
        </is>
      </c>
      <c r="B217" s="3" t="inlineStr">
        <is>
          <t>CGF</t>
        </is>
      </c>
      <c r="C217" s="3" t="inlineStr">
        <is>
          <t>consilium_core.tests.test_attestation</t>
        </is>
      </c>
      <c r="D217" s="3" t="inlineStr">
        <is>
          <t>TestAttestation</t>
        </is>
      </c>
      <c r="E217" s="3" t="inlineStr">
        <is>
          <t>test_a_duplicate_task_is_refused_outright</t>
        </is>
      </c>
      <c r="F217" s="3" t="inlineStr">
        <is>
          <t>whole class</t>
        </is>
      </c>
      <c r="G217" s="2" t="n">
        <v>13</v>
      </c>
      <c r="H217" s="2" t="n">
        <v>13</v>
      </c>
      <c r="I217" s="3" t="inlineStr">
        <is>
          <t>consilium/consilium_core/tests/test_attestation.py</t>
        </is>
      </c>
    </row>
    <row r="218" ht="17" customHeight="1">
      <c r="A218" s="2" t="inlineStr">
        <is>
          <t>G-10</t>
        </is>
      </c>
      <c r="B218" s="3" t="inlineStr">
        <is>
          <t>CGF</t>
        </is>
      </c>
      <c r="C218" s="3" t="inlineStr">
        <is>
          <t>consilium_core.tests.test_attestation</t>
        </is>
      </c>
      <c r="D218" s="3" t="inlineStr">
        <is>
          <t>TestAttestation</t>
        </is>
      </c>
      <c r="E218" s="3" t="inlineStr">
        <is>
          <t>test_a_closed_campaign_generates_nothing</t>
        </is>
      </c>
      <c r="F218" s="3" t="inlineStr">
        <is>
          <t>whole class</t>
        </is>
      </c>
      <c r="G218" s="2" t="n">
        <v>13</v>
      </c>
      <c r="H218" s="2" t="n">
        <v>13</v>
      </c>
      <c r="I218" s="3" t="inlineStr">
        <is>
          <t>consilium/consilium_core/tests/test_attestation.py</t>
        </is>
      </c>
    </row>
    <row r="219" ht="17" customHeight="1">
      <c r="A219" s="2" t="inlineStr">
        <is>
          <t>G-10</t>
        </is>
      </c>
      <c r="B219" s="3" t="inlineStr">
        <is>
          <t>CGF</t>
        </is>
      </c>
      <c r="C219" s="3" t="inlineStr">
        <is>
          <t>consilium_core.tests.test_attestation</t>
        </is>
      </c>
      <c r="D219" s="3" t="inlineStr">
        <is>
          <t>TestAttestation</t>
        </is>
      </c>
      <c r="E219" s="3" t="inlineStr">
        <is>
          <t>test_an_exception_response_needs_a_statement</t>
        </is>
      </c>
      <c r="F219" s="3" t="inlineStr">
        <is>
          <t>whole class</t>
        </is>
      </c>
      <c r="G219" s="2" t="n">
        <v>13</v>
      </c>
      <c r="H219" s="2" t="n">
        <v>13</v>
      </c>
      <c r="I219" s="3" t="inlineStr">
        <is>
          <t>consilium/consilium_core/tests/test_attestation.py</t>
        </is>
      </c>
    </row>
    <row r="220" ht="17" customHeight="1">
      <c r="A220" s="2" t="inlineStr">
        <is>
          <t>G-10</t>
        </is>
      </c>
      <c r="B220" s="3" t="inlineStr">
        <is>
          <t>CGF</t>
        </is>
      </c>
      <c r="C220" s="3" t="inlineStr">
        <is>
          <t>consilium_core.tests.test_attestation</t>
        </is>
      </c>
      <c r="D220" s="3" t="inlineStr">
        <is>
          <t>TestAttestation</t>
        </is>
      </c>
      <c r="E220" s="3" t="inlineStr">
        <is>
          <t>test_a_clean_attestation_needs_no_statement</t>
        </is>
      </c>
      <c r="F220" s="3" t="inlineStr">
        <is>
          <t>whole class</t>
        </is>
      </c>
      <c r="G220" s="2" t="n">
        <v>13</v>
      </c>
      <c r="H220" s="2" t="n">
        <v>13</v>
      </c>
      <c r="I220" s="3" t="inlineStr">
        <is>
          <t>consilium/consilium_core/tests/test_attestation.py</t>
        </is>
      </c>
    </row>
    <row r="221" ht="17" customHeight="1">
      <c r="A221" s="2" t="inlineStr">
        <is>
          <t>G-10</t>
        </is>
      </c>
      <c r="B221" s="3" t="inlineStr">
        <is>
          <t>CGF</t>
        </is>
      </c>
      <c r="C221" s="3" t="inlineStr">
        <is>
          <t>consilium_core.tests.test_attestation</t>
        </is>
      </c>
      <c r="D221" s="3" t="inlineStr">
        <is>
          <t>TestAttestation</t>
        </is>
      </c>
      <c r="E221" s="3" t="inlineStr">
        <is>
          <t>test_dual_signature_campaigns_carry_a_second_signatory</t>
        </is>
      </c>
      <c r="F221" s="3" t="inlineStr">
        <is>
          <t>whole class</t>
        </is>
      </c>
      <c r="G221" s="2" t="n">
        <v>13</v>
      </c>
      <c r="H221" s="2" t="n">
        <v>13</v>
      </c>
      <c r="I221" s="3" t="inlineStr">
        <is>
          <t>consilium/consilium_core/tests/test_attestation.py</t>
        </is>
      </c>
    </row>
    <row r="222" ht="17" customHeight="1">
      <c r="A222" s="2" t="inlineStr">
        <is>
          <t>G-10</t>
        </is>
      </c>
      <c r="B222" s="3" t="inlineStr">
        <is>
          <t>CGF</t>
        </is>
      </c>
      <c r="C222" s="3" t="inlineStr">
        <is>
          <t>consilium_core.tests.test_attestation</t>
        </is>
      </c>
      <c r="D222" s="3" t="inlineStr">
        <is>
          <t>TestAttestation</t>
        </is>
      </c>
      <c r="E222" s="3" t="inlineStr">
        <is>
          <t>test_the_seat_role_query_only_draws_attesting_seats</t>
        </is>
      </c>
      <c r="F222" s="3" t="inlineStr">
        <is>
          <t>whole class</t>
        </is>
      </c>
      <c r="G222" s="2" t="n">
        <v>13</v>
      </c>
      <c r="H222" s="2" t="n">
        <v>13</v>
      </c>
      <c r="I222" s="3" t="inlineStr">
        <is>
          <t>consilium/consilium_core/tests/test_attestation.py</t>
        </is>
      </c>
    </row>
    <row r="223" ht="17" customHeight="1">
      <c r="A223" s="2" t="inlineStr">
        <is>
          <t>G-10</t>
        </is>
      </c>
      <c r="B223" s="3" t="inlineStr">
        <is>
          <t>CGF</t>
        </is>
      </c>
      <c r="C223" s="3" t="inlineStr">
        <is>
          <t>consilium_core.tests.test_attestation</t>
        </is>
      </c>
      <c r="D223" s="3" t="inlineStr">
        <is>
          <t>TestAttestation</t>
        </is>
      </c>
      <c r="E223" s="3" t="inlineStr">
        <is>
          <t>test_two_campaigns_cannot_share_a_type_and_period</t>
        </is>
      </c>
      <c r="F223" s="3" t="inlineStr">
        <is>
          <t>whole class</t>
        </is>
      </c>
      <c r="G223" s="2" t="n">
        <v>13</v>
      </c>
      <c r="H223" s="2" t="n">
        <v>13</v>
      </c>
      <c r="I223" s="3" t="inlineStr">
        <is>
          <t>consilium/consilium_core/tests/test_attestation.py</t>
        </is>
      </c>
    </row>
    <row r="224" ht="17" customHeight="1">
      <c r="A224" s="2" t="inlineStr">
        <is>
          <t>G-10</t>
        </is>
      </c>
      <c r="B224" s="3" t="inlineStr">
        <is>
          <t>CGF</t>
        </is>
      </c>
      <c r="C224" s="3" t="inlineStr">
        <is>
          <t>consilium_core.tests.test_attestation</t>
        </is>
      </c>
      <c r="D224" s="3" t="inlineStr">
        <is>
          <t>TestAttestation</t>
        </is>
      </c>
      <c r="E224" s="3" t="inlineStr">
        <is>
          <t>test_overdue_tasks_expire</t>
        </is>
      </c>
      <c r="F224" s="3" t="inlineStr">
        <is>
          <t>whole class</t>
        </is>
      </c>
      <c r="G224" s="2" t="n">
        <v>13</v>
      </c>
      <c r="H224" s="2" t="n">
        <v>13</v>
      </c>
      <c r="I224" s="3" t="inlineStr">
        <is>
          <t>consilium/consilium_core/tests/test_attestation.py</t>
        </is>
      </c>
    </row>
    <row r="225" ht="30" customHeight="1">
      <c r="A225" s="2" t="inlineStr">
        <is>
          <t>G-10</t>
        </is>
      </c>
      <c r="B225" s="3" t="inlineStr">
        <is>
          <t>CGF</t>
        </is>
      </c>
      <c r="C225" s="3" t="inlineStr">
        <is>
          <t>consilium_core.tests.test_attestation</t>
        </is>
      </c>
      <c r="D225" s="3" t="inlineStr">
        <is>
          <t>TestUnconfiguredRecordsDoNotStopACampaign</t>
        </is>
      </c>
      <c r="E225" s="3" t="inlineStr">
        <is>
          <t>test_the_configured_record_is_asked_and_the_other_is_reported</t>
        </is>
      </c>
      <c r="F225" s="3" t="inlineStr">
        <is>
          <t>whole class</t>
        </is>
      </c>
      <c r="G225" s="2" t="n">
        <v>3</v>
      </c>
      <c r="H225" s="2" t="n">
        <v>3</v>
      </c>
      <c r="I225" s="3" t="inlineStr">
        <is>
          <t>consilium/consilium_core/tests/test_attestation.py</t>
        </is>
      </c>
    </row>
    <row r="226" ht="30" customHeight="1">
      <c r="A226" s="2" t="inlineStr">
        <is>
          <t>G-10</t>
        </is>
      </c>
      <c r="B226" s="3" t="inlineStr">
        <is>
          <t>CGF</t>
        </is>
      </c>
      <c r="C226" s="3" t="inlineStr">
        <is>
          <t>consilium_core.tests.test_attestation</t>
        </is>
      </c>
      <c r="D226" s="3" t="inlineStr">
        <is>
          <t>TestUnconfiguredRecordsDoNotStopACampaign</t>
        </is>
      </c>
      <c r="E226" s="3" t="inlineStr">
        <is>
          <t>test_filling_the_field_in_picks_the_record_up_on_the_next_run</t>
        </is>
      </c>
      <c r="F226" s="3" t="inlineStr">
        <is>
          <t>whole class</t>
        </is>
      </c>
      <c r="G226" s="2" t="n">
        <v>3</v>
      </c>
      <c r="H226" s="2" t="n">
        <v>3</v>
      </c>
      <c r="I226" s="3" t="inlineStr">
        <is>
          <t>consilium/consilium_core/tests/test_attestation.py</t>
        </is>
      </c>
    </row>
    <row r="227" ht="30" customHeight="1">
      <c r="A227" s="2" t="inlineStr">
        <is>
          <t>G-10</t>
        </is>
      </c>
      <c r="B227" s="3" t="inlineStr">
        <is>
          <t>CGF</t>
        </is>
      </c>
      <c r="C227" s="3" t="inlineStr">
        <is>
          <t>consilium_core.tests.test_attestation</t>
        </is>
      </c>
      <c r="D227" s="3" t="inlineStr">
        <is>
          <t>TestUnconfiguredRecordsDoNotStopACampaign</t>
        </is>
      </c>
      <c r="E227" s="3" t="inlineStr">
        <is>
          <t>test_a_record_whose_second_signatory_is_its_participant_is_reported_not_raised</t>
        </is>
      </c>
      <c r="F227" s="3" t="inlineStr">
        <is>
          <t>whole class</t>
        </is>
      </c>
      <c r="G227" s="2" t="n">
        <v>3</v>
      </c>
      <c r="H227" s="2" t="n">
        <v>3</v>
      </c>
      <c r="I227" s="3" t="inlineStr">
        <is>
          <t>consilium/consilium_core/tests/test_attestation.py</t>
        </is>
      </c>
    </row>
    <row r="228" ht="30" customHeight="1">
      <c r="A228" s="2" t="inlineStr">
        <is>
          <t>G-10</t>
        </is>
      </c>
      <c r="B228" s="3" t="inlineStr">
        <is>
          <t>CGF</t>
        </is>
      </c>
      <c r="C228" s="3" t="inlineStr">
        <is>
          <t>consilium_core.tests.test_inbox</t>
        </is>
      </c>
      <c r="D228" s="3" t="inlineStr">
        <is>
          <t>TestInboxAttestation</t>
        </is>
      </c>
      <c r="E228" s="3" t="inlineStr">
        <is>
          <t>test_the_assignee_sees_their_open_task_and_a_stranger_does_not</t>
        </is>
      </c>
      <c r="F228" s="3" t="inlineStr">
        <is>
          <t>whole class</t>
        </is>
      </c>
      <c r="G228" s="2" t="n">
        <v>8</v>
      </c>
      <c r="H228" s="2" t="n">
        <v>8</v>
      </c>
      <c r="I228" s="3" t="inlineStr">
        <is>
          <t>consilium/consilium_core/tests/test_inbox.py</t>
        </is>
      </c>
    </row>
    <row r="229" ht="30" customHeight="1">
      <c r="A229" s="2" t="inlineStr">
        <is>
          <t>G-10</t>
        </is>
      </c>
      <c r="B229" s="3" t="inlineStr">
        <is>
          <t>CGF</t>
        </is>
      </c>
      <c r="C229" s="3" t="inlineStr">
        <is>
          <t>consilium_core.tests.test_inbox</t>
        </is>
      </c>
      <c r="D229" s="3" t="inlineStr">
        <is>
          <t>TestInboxAttestation</t>
        </is>
      </c>
      <c r="E229" s="3" t="inlineStr">
        <is>
          <t>test_the_assignee_answers_in_place_and_the_task_leaves_the_inbox</t>
        </is>
      </c>
      <c r="F229" s="3" t="inlineStr">
        <is>
          <t>whole class</t>
        </is>
      </c>
      <c r="G229" s="2" t="n">
        <v>8</v>
      </c>
      <c r="H229" s="2" t="n">
        <v>8</v>
      </c>
      <c r="I229" s="3" t="inlineStr">
        <is>
          <t>consilium/consilium_core/tests/test_inbox.py</t>
        </is>
      </c>
    </row>
    <row r="230" ht="17" customHeight="1">
      <c r="A230" s="2" t="inlineStr">
        <is>
          <t>G-10</t>
        </is>
      </c>
      <c r="B230" s="3" t="inlineStr">
        <is>
          <t>CGF</t>
        </is>
      </c>
      <c r="C230" s="3" t="inlineStr">
        <is>
          <t>consilium_core.tests.test_inbox</t>
        </is>
      </c>
      <c r="D230" s="3" t="inlineStr">
        <is>
          <t>TestInboxAttestation</t>
        </is>
      </c>
      <c r="E230" s="3" t="inlineStr">
        <is>
          <t>test_a_stranger_is_refused_and_the_refusal_is_audited</t>
        </is>
      </c>
      <c r="F230" s="3" t="inlineStr">
        <is>
          <t>whole class</t>
        </is>
      </c>
      <c r="G230" s="2" t="n">
        <v>8</v>
      </c>
      <c r="H230" s="2" t="n">
        <v>8</v>
      </c>
      <c r="I230" s="3" t="inlineStr">
        <is>
          <t>consilium/consilium_core/tests/test_inbox.py</t>
        </is>
      </c>
    </row>
    <row r="231" ht="30" customHeight="1">
      <c r="A231" s="2" t="inlineStr">
        <is>
          <t>G-10</t>
        </is>
      </c>
      <c r="B231" s="3" t="inlineStr">
        <is>
          <t>CGF</t>
        </is>
      </c>
      <c r="C231" s="3" t="inlineStr">
        <is>
          <t>consilium_core.tests.test_inbox</t>
        </is>
      </c>
      <c r="D231" s="3" t="inlineStr">
        <is>
          <t>TestInboxAttestation</t>
        </is>
      </c>
      <c r="E231" s="3" t="inlineStr">
        <is>
          <t>test_a_delegate_of_attestation_sees_and_answers_the_task_under_the_delegation</t>
        </is>
      </c>
      <c r="F231" s="3" t="inlineStr">
        <is>
          <t>whole class</t>
        </is>
      </c>
      <c r="G231" s="2" t="n">
        <v>8</v>
      </c>
      <c r="H231" s="2" t="n">
        <v>8</v>
      </c>
      <c r="I231" s="3" t="inlineStr">
        <is>
          <t>consilium/consilium_core/tests/test_inbox.py</t>
        </is>
      </c>
    </row>
    <row r="232" ht="30" customHeight="1">
      <c r="A232" s="2" t="inlineStr">
        <is>
          <t>G-10</t>
        </is>
      </c>
      <c r="B232" s="3" t="inlineStr">
        <is>
          <t>CGF</t>
        </is>
      </c>
      <c r="C232" s="3" t="inlineStr">
        <is>
          <t>consilium_core.tests.test_inbox</t>
        </is>
      </c>
      <c r="D232" s="3" t="inlineStr">
        <is>
          <t>TestInboxAttestation</t>
        </is>
      </c>
      <c r="E232" s="3" t="inlineStr">
        <is>
          <t>test_a_delegation_of_another_action_does_not_let_the_delegate_attest</t>
        </is>
      </c>
      <c r="F232" s="3" t="inlineStr">
        <is>
          <t>whole class</t>
        </is>
      </c>
      <c r="G232" s="2" t="n">
        <v>8</v>
      </c>
      <c r="H232" s="2" t="n">
        <v>8</v>
      </c>
      <c r="I232" s="3" t="inlineStr">
        <is>
          <t>consilium/consilium_core/tests/test_inbox.py</t>
        </is>
      </c>
    </row>
    <row r="233" ht="17" customHeight="1">
      <c r="A233" s="2" t="inlineStr">
        <is>
          <t>G-10</t>
        </is>
      </c>
      <c r="B233" s="3" t="inlineStr">
        <is>
          <t>CGF</t>
        </is>
      </c>
      <c r="C233" s="3" t="inlineStr">
        <is>
          <t>consilium_core.tests.test_inbox</t>
        </is>
      </c>
      <c r="D233" s="3" t="inlineStr">
        <is>
          <t>TestInboxAttestation</t>
        </is>
      </c>
      <c r="E233" s="3" t="inlineStr">
        <is>
          <t>test_an_answer_needing_a_statement_is_refused_without_one</t>
        </is>
      </c>
      <c r="F233" s="3" t="inlineStr">
        <is>
          <t>whole class</t>
        </is>
      </c>
      <c r="G233" s="2" t="n">
        <v>8</v>
      </c>
      <c r="H233" s="2" t="n">
        <v>8</v>
      </c>
      <c r="I233" s="3" t="inlineStr">
        <is>
          <t>consilium/consilium_core/tests/test_inbox.py</t>
        </is>
      </c>
    </row>
    <row r="234" ht="30" customHeight="1">
      <c r="A234" s="2" t="inlineStr">
        <is>
          <t>G-10</t>
        </is>
      </c>
      <c r="B234" s="3" t="inlineStr">
        <is>
          <t>CGF</t>
        </is>
      </c>
      <c r="C234" s="3" t="inlineStr">
        <is>
          <t>consilium_core.tests.test_inbox</t>
        </is>
      </c>
      <c r="D234" s="3" t="inlineStr">
        <is>
          <t>TestInboxAttestation</t>
        </is>
      </c>
      <c r="E234" s="3" t="inlineStr">
        <is>
          <t>test_only_an_answer_is_accepted_not_an_open_or_lapsed_status</t>
        </is>
      </c>
      <c r="F234" s="3" t="inlineStr">
        <is>
          <t>whole class</t>
        </is>
      </c>
      <c r="G234" s="2" t="n">
        <v>8</v>
      </c>
      <c r="H234" s="2" t="n">
        <v>8</v>
      </c>
      <c r="I234" s="3" t="inlineStr">
        <is>
          <t>consilium/consilium_core/tests/test_inbox.py</t>
        </is>
      </c>
    </row>
    <row r="235" ht="17" customHeight="1">
      <c r="A235" s="2" t="inlineStr">
        <is>
          <t>G-10</t>
        </is>
      </c>
      <c r="B235" s="3" t="inlineStr">
        <is>
          <t>CGF</t>
        </is>
      </c>
      <c r="C235" s="3" t="inlineStr">
        <is>
          <t>consilium_core.tests.test_inbox</t>
        </is>
      </c>
      <c r="D235" s="3" t="inlineStr">
        <is>
          <t>TestInboxAttestation</t>
        </is>
      </c>
      <c r="E235" s="3" t="inlineStr">
        <is>
          <t>test_a_task_cannot_be_answered_twice</t>
        </is>
      </c>
      <c r="F235" s="3" t="inlineStr">
        <is>
          <t>whole class</t>
        </is>
      </c>
      <c r="G235" s="2" t="n">
        <v>8</v>
      </c>
      <c r="H235" s="2" t="n">
        <v>8</v>
      </c>
      <c r="I235" s="3" t="inlineStr">
        <is>
          <t>consilium/consilium_core/tests/test_inbox.py</t>
        </is>
      </c>
    </row>
    <row r="236" ht="30" customHeight="1">
      <c r="A236" s="2" t="inlineStr">
        <is>
          <t>G-10</t>
        </is>
      </c>
      <c r="B236" s="3" t="inlineStr">
        <is>
          <t>CGF</t>
        </is>
      </c>
      <c r="C236" s="3" t="inlineStr">
        <is>
          <t>consilium_core.tests.test_inbox</t>
        </is>
      </c>
      <c r="D236" s="3" t="inlineStr">
        <is>
          <t>TestSecondSignature</t>
        </is>
      </c>
      <c r="E236" s="3" t="inlineStr">
        <is>
          <t>test_the_answer_waits_in_the_second_signatorys_inbox_until_signed</t>
        </is>
      </c>
      <c r="F236" s="3" t="inlineStr">
        <is>
          <t>whole class</t>
        </is>
      </c>
      <c r="G236" s="2" t="n">
        <v>3</v>
      </c>
      <c r="H236" s="2" t="n">
        <v>3</v>
      </c>
      <c r="I236" s="3" t="inlineStr">
        <is>
          <t>consilium/consilium_core/tests/test_inbox.py</t>
        </is>
      </c>
    </row>
    <row r="237" ht="17" customHeight="1">
      <c r="A237" s="2" t="inlineStr">
        <is>
          <t>G-10</t>
        </is>
      </c>
      <c r="B237" s="3" t="inlineStr">
        <is>
          <t>CGF</t>
        </is>
      </c>
      <c r="C237" s="3" t="inlineStr">
        <is>
          <t>consilium_core.tests.test_inbox</t>
        </is>
      </c>
      <c r="D237" s="3" t="inlineStr">
        <is>
          <t>TestSecondSignature</t>
        </is>
      </c>
      <c r="E237" s="3" t="inlineStr">
        <is>
          <t>test_anyone_but_the_named_second_signatory_is_refused</t>
        </is>
      </c>
      <c r="F237" s="3" t="inlineStr">
        <is>
          <t>whole class</t>
        </is>
      </c>
      <c r="G237" s="2" t="n">
        <v>3</v>
      </c>
      <c r="H237" s="2" t="n">
        <v>3</v>
      </c>
      <c r="I237" s="3" t="inlineStr">
        <is>
          <t>consilium/consilium_core/tests/test_inbox.py</t>
        </is>
      </c>
    </row>
    <row r="238" ht="30" customHeight="1">
      <c r="A238" s="2" t="inlineStr">
        <is>
          <t>G-10</t>
        </is>
      </c>
      <c r="B238" s="3" t="inlineStr">
        <is>
          <t>CGF</t>
        </is>
      </c>
      <c r="C238" s="3" t="inlineStr">
        <is>
          <t>consilium_core.tests.test_inbox</t>
        </is>
      </c>
      <c r="D238" s="3" t="inlineStr">
        <is>
          <t>TestSecondSignature</t>
        </is>
      </c>
      <c r="E238" s="3" t="inlineStr">
        <is>
          <t>test_a_task_that_lapsed_unanswered_cannot_be_counter_signed</t>
        </is>
      </c>
      <c r="F238" s="3" t="inlineStr">
        <is>
          <t>whole class</t>
        </is>
      </c>
      <c r="G238" s="2" t="n">
        <v>3</v>
      </c>
      <c r="H238" s="2" t="n">
        <v>3</v>
      </c>
      <c r="I238" s="3" t="inlineStr">
        <is>
          <t>consilium/consilium_core/tests/test_inbox.py</t>
        </is>
      </c>
    </row>
    <row r="239" ht="17" customHeight="1">
      <c r="A239" s="2" t="inlineStr">
        <is>
          <t>G-10</t>
        </is>
      </c>
      <c r="B239" s="3" t="inlineStr">
        <is>
          <t>CGF</t>
        </is>
      </c>
      <c r="C239" s="3" t="inlineStr">
        <is>
          <t>consilium_core.tests.test_inbox</t>
        </is>
      </c>
      <c r="D239" s="3" t="inlineStr">
        <is>
          <t>TestCampaignAdministration</t>
        </is>
      </c>
      <c r="E239" s="3" t="inlineStr">
        <is>
          <t>test_an_administrator_generates_tasks_and_sees_the_board</t>
        </is>
      </c>
      <c r="F239" s="3" t="inlineStr">
        <is>
          <t>whole class</t>
        </is>
      </c>
      <c r="G239" s="2" t="n">
        <v>5</v>
      </c>
      <c r="H239" s="2" t="n">
        <v>5</v>
      </c>
      <c r="I239" s="3" t="inlineStr">
        <is>
          <t>consilium/consilium_core/tests/test_inbox.py</t>
        </is>
      </c>
    </row>
    <row r="240" ht="17" customHeight="1">
      <c r="A240" s="2" t="inlineStr">
        <is>
          <t>G-10</t>
        </is>
      </c>
      <c r="B240" s="3" t="inlineStr">
        <is>
          <t>CGF</t>
        </is>
      </c>
      <c r="C240" s="3" t="inlineStr">
        <is>
          <t>consilium_core.tests.test_inbox</t>
        </is>
      </c>
      <c r="D240" s="3" t="inlineStr">
        <is>
          <t>TestCampaignAdministration</t>
        </is>
      </c>
      <c r="E240" s="3" t="inlineStr">
        <is>
          <t>test_unconfigured_records_are_named_so_they_can_be_chased</t>
        </is>
      </c>
      <c r="F240" s="3" t="inlineStr">
        <is>
          <t>whole class</t>
        </is>
      </c>
      <c r="G240" s="2" t="n">
        <v>5</v>
      </c>
      <c r="H240" s="2" t="n">
        <v>5</v>
      </c>
      <c r="I240" s="3" t="inlineStr">
        <is>
          <t>consilium/consilium_core/tests/test_inbox.py</t>
        </is>
      </c>
    </row>
    <row r="241" ht="17" customHeight="1">
      <c r="A241" s="2" t="inlineStr">
        <is>
          <t>G-10</t>
        </is>
      </c>
      <c r="B241" s="3" t="inlineStr">
        <is>
          <t>CGF</t>
        </is>
      </c>
      <c r="C241" s="3" t="inlineStr">
        <is>
          <t>consilium_core.tests.test_inbox</t>
        </is>
      </c>
      <c r="D241" s="3" t="inlineStr">
        <is>
          <t>TestCampaignAdministration</t>
        </is>
      </c>
      <c r="E241" s="3" t="inlineStr">
        <is>
          <t>test_anyone_else_is_refused</t>
        </is>
      </c>
      <c r="F241" s="3" t="inlineStr">
        <is>
          <t>whole class</t>
        </is>
      </c>
      <c r="G241" s="2" t="n">
        <v>5</v>
      </c>
      <c r="H241" s="2" t="n">
        <v>5</v>
      </c>
      <c r="I241" s="3" t="inlineStr">
        <is>
          <t>consilium/consilium_core/tests/test_inbox.py</t>
        </is>
      </c>
    </row>
    <row r="242" ht="17" customHeight="1">
      <c r="A242" s="2" t="inlineStr">
        <is>
          <t>G-10</t>
        </is>
      </c>
      <c r="B242" s="3" t="inlineStr">
        <is>
          <t>CGF</t>
        </is>
      </c>
      <c r="C242" s="3" t="inlineStr">
        <is>
          <t>consilium_core.tests.test_inbox</t>
        </is>
      </c>
      <c r="D242" s="3" t="inlineStr">
        <is>
          <t>TestCampaignAdministration</t>
        </is>
      </c>
      <c r="E242" s="3" t="inlineStr">
        <is>
          <t>test_the_governance_office_runs_forum_campaigns_only</t>
        </is>
      </c>
      <c r="F242" s="3" t="inlineStr">
        <is>
          <t>whole class</t>
        </is>
      </c>
      <c r="G242" s="2" t="n">
        <v>5</v>
      </c>
      <c r="H242" s="2" t="n">
        <v>5</v>
      </c>
      <c r="I242" s="3" t="inlineStr">
        <is>
          <t>consilium/consilium_core/tests/test_inbox.py</t>
        </is>
      </c>
    </row>
    <row r="243" ht="30" customHeight="1">
      <c r="A243" s="2" t="inlineStr">
        <is>
          <t>G-10</t>
        </is>
      </c>
      <c r="B243" s="3" t="inlineStr">
        <is>
          <t>CGF</t>
        </is>
      </c>
      <c r="C243" s="3" t="inlineStr">
        <is>
          <t>consilium_core.tests.test_inbox</t>
        </is>
      </c>
      <c r="D243" s="3" t="inlineStr">
        <is>
          <t>TestCampaignAdministration</t>
        </is>
      </c>
      <c r="E243" s="3" t="inlineStr">
        <is>
          <t>test_someone_outside_the_office_cannot_open_a_forum_campaign</t>
        </is>
      </c>
      <c r="F243" s="3" t="inlineStr">
        <is>
          <t>whole class</t>
        </is>
      </c>
      <c r="G243" s="2" t="n">
        <v>5</v>
      </c>
      <c r="H243" s="2" t="n">
        <v>5</v>
      </c>
      <c r="I243" s="3" t="inlineStr">
        <is>
          <t>consilium/consilium_core/tests/test_inbox.py</t>
        </is>
      </c>
    </row>
    <row r="244" ht="30" customHeight="1">
      <c r="A244" s="2" t="inlineStr">
        <is>
          <t>G-10</t>
        </is>
      </c>
      <c r="B244" s="3" t="inlineStr">
        <is>
          <t>CGF</t>
        </is>
      </c>
      <c r="C244" s="3" t="inlineStr">
        <is>
          <t>consilium_core.tests.test_w3_guides_core</t>
        </is>
      </c>
      <c r="D244" s="3" t="inlineStr">
        <is>
          <t>TestCampaignReminderSchedule</t>
        </is>
      </c>
      <c r="E244" s="3" t="inlineStr">
        <is>
          <t>test_reminders_follow_the_schedule_once_per_point</t>
        </is>
      </c>
      <c r="F244" s="3" t="inlineStr">
        <is>
          <t>whole class</t>
        </is>
      </c>
      <c r="G244" s="2" t="n">
        <v>4</v>
      </c>
      <c r="H244" s="2" t="n">
        <v>4</v>
      </c>
      <c r="I244" s="3" t="inlineStr">
        <is>
          <t>consilium/consilium_core/tests/test_w3_guides_core.py</t>
        </is>
      </c>
    </row>
    <row r="245" ht="30" customHeight="1">
      <c r="A245" s="2" t="inlineStr">
        <is>
          <t>G-10</t>
        </is>
      </c>
      <c r="B245" s="3" t="inlineStr">
        <is>
          <t>CGF</t>
        </is>
      </c>
      <c r="C245" s="3" t="inlineStr">
        <is>
          <t>consilium_core.tests.test_w3_guides_core</t>
        </is>
      </c>
      <c r="D245" s="3" t="inlineStr">
        <is>
          <t>TestCampaignReminderSchedule</t>
        </is>
      </c>
      <c r="E245" s="3" t="inlineStr">
        <is>
          <t>test_an_answered_task_is_not_chased</t>
        </is>
      </c>
      <c r="F245" s="3" t="inlineStr">
        <is>
          <t>whole class</t>
        </is>
      </c>
      <c r="G245" s="2" t="n">
        <v>4</v>
      </c>
      <c r="H245" s="2" t="n">
        <v>4</v>
      </c>
      <c r="I245" s="3" t="inlineStr">
        <is>
          <t>consilium/consilium_core/tests/test_w3_guides_core.py</t>
        </is>
      </c>
    </row>
    <row r="246" ht="30" customHeight="1">
      <c r="A246" s="2" t="inlineStr">
        <is>
          <t>G-10</t>
        </is>
      </c>
      <c r="B246" s="3" t="inlineStr">
        <is>
          <t>CGF</t>
        </is>
      </c>
      <c r="C246" s="3" t="inlineStr">
        <is>
          <t>consilium_core.tests.test_w3_guides_core</t>
        </is>
      </c>
      <c r="D246" s="3" t="inlineStr">
        <is>
          <t>TestCampaignReminderSchedule</t>
        </is>
      </c>
      <c r="E246" s="3" t="inlineStr">
        <is>
          <t>test_a_campaign_with_no_schedule_sends_nothing</t>
        </is>
      </c>
      <c r="F246" s="3" t="inlineStr">
        <is>
          <t>whole class</t>
        </is>
      </c>
      <c r="G246" s="2" t="n">
        <v>4</v>
      </c>
      <c r="H246" s="2" t="n">
        <v>4</v>
      </c>
      <c r="I246" s="3" t="inlineStr">
        <is>
          <t>consilium/consilium_core/tests/test_w3_guides_core.py</t>
        </is>
      </c>
    </row>
    <row r="247" ht="30" customHeight="1">
      <c r="A247" s="2" t="inlineStr">
        <is>
          <t>G-10</t>
        </is>
      </c>
      <c r="B247" s="3" t="inlineStr">
        <is>
          <t>CGF</t>
        </is>
      </c>
      <c r="C247" s="3" t="inlineStr">
        <is>
          <t>consilium_core.tests.test_w3_guides_core</t>
        </is>
      </c>
      <c r="D247" s="3" t="inlineStr">
        <is>
          <t>TestCampaignReminderSchedule</t>
        </is>
      </c>
      <c r="E247" s="3" t="inlineStr">
        <is>
          <t>test_the_daily_job_runs_it</t>
        </is>
      </c>
      <c r="F247" s="3" t="inlineStr">
        <is>
          <t>whole class</t>
        </is>
      </c>
      <c r="G247" s="2" t="n">
        <v>4</v>
      </c>
      <c r="H247" s="2" t="n">
        <v>4</v>
      </c>
      <c r="I247" s="3" t="inlineStr">
        <is>
          <t>consilium/consilium_core/tests/test_w3_guides_core.py</t>
        </is>
      </c>
    </row>
    <row r="248" ht="17" customHeight="1">
      <c r="A248" s="2" t="inlineStr">
        <is>
          <t>G-10</t>
        </is>
      </c>
      <c r="B248" s="3" t="inlineStr">
        <is>
          <t>CGF</t>
        </is>
      </c>
      <c r="C248" s="3" t="inlineStr">
        <is>
          <t>consilium_core.tests.test_reminders</t>
        </is>
      </c>
      <c r="D248" s="3" t="inlineStr">
        <is>
          <t>TestForumReviewReminders</t>
        </is>
      </c>
      <c r="E248" s="3" t="inlineStr">
        <is>
          <t>test_the_overdue_review_list_now_reaches_the_forum_owner</t>
        </is>
      </c>
      <c r="F248" s="3" t="inlineStr">
        <is>
          <t>whole class</t>
        </is>
      </c>
      <c r="G248" s="2" t="n">
        <v>1</v>
      </c>
      <c r="H248" s="2" t="n">
        <v>1</v>
      </c>
      <c r="I248" s="3" t="inlineStr">
        <is>
          <t>consilium/consilium_core/tests/test_reminders.py</t>
        </is>
      </c>
    </row>
    <row r="249" ht="30" customHeight="1">
      <c r="A249" s="2" t="inlineStr">
        <is>
          <t>G-10</t>
        </is>
      </c>
      <c r="B249" s="3" t="inlineStr">
        <is>
          <t>CGF</t>
        </is>
      </c>
      <c r="C249" s="3" t="inlineStr">
        <is>
          <t>governance.tests.test_lifecycle</t>
        </is>
      </c>
      <c r="D249" s="3" t="inlineStr">
        <is>
          <t>TestAnnualReview</t>
        </is>
      </c>
      <c r="E249" s="3" t="inlineStr">
        <is>
          <t>test_the_annual_review_needs_both_the_owner_and_compliance</t>
        </is>
      </c>
      <c r="F249" s="3" t="inlineStr">
        <is>
          <t>whole class</t>
        </is>
      </c>
      <c r="G249" s="2" t="n">
        <v>4</v>
      </c>
      <c r="H249" s="2" t="n">
        <v>4</v>
      </c>
      <c r="I249" s="3" t="inlineStr">
        <is>
          <t>consilium/governance/tests/test_lifecycle.py</t>
        </is>
      </c>
    </row>
    <row r="250" ht="17" customHeight="1">
      <c r="A250" s="2" t="inlineStr">
        <is>
          <t>G-10</t>
        </is>
      </c>
      <c r="B250" s="3" t="inlineStr">
        <is>
          <t>CGF</t>
        </is>
      </c>
      <c r="C250" s="3" t="inlineStr">
        <is>
          <t>governance.tests.test_lifecycle</t>
        </is>
      </c>
      <c r="D250" s="3" t="inlineStr">
        <is>
          <t>TestAnnualReview</t>
        </is>
      </c>
      <c r="E250" s="3" t="inlineStr">
        <is>
          <t>test_the_inventory_attestation_goes_to_attesting_seats</t>
        </is>
      </c>
      <c r="F250" s="3" t="inlineStr">
        <is>
          <t>whole class</t>
        </is>
      </c>
      <c r="G250" s="2" t="n">
        <v>4</v>
      </c>
      <c r="H250" s="2" t="n">
        <v>4</v>
      </c>
      <c r="I250" s="3" t="inlineStr">
        <is>
          <t>consilium/governance/tests/test_lifecycle.py</t>
        </is>
      </c>
    </row>
    <row r="251" ht="17" customHeight="1">
      <c r="A251" s="2" t="inlineStr">
        <is>
          <t>G-10</t>
        </is>
      </c>
      <c r="B251" s="3" t="inlineStr">
        <is>
          <t>CGF</t>
        </is>
      </c>
      <c r="C251" s="3" t="inlineStr">
        <is>
          <t>governance.tests.test_lifecycle</t>
        </is>
      </c>
      <c r="D251" s="3" t="inlineStr">
        <is>
          <t>TestAnnualReview</t>
        </is>
      </c>
      <c r="E251" s="3" t="inlineStr">
        <is>
          <t>test_an_overdue_review_is_visible_as_an_exception</t>
        </is>
      </c>
      <c r="F251" s="3" t="inlineStr">
        <is>
          <t>whole class</t>
        </is>
      </c>
      <c r="G251" s="2" t="n">
        <v>4</v>
      </c>
      <c r="H251" s="2" t="n">
        <v>4</v>
      </c>
      <c r="I251" s="3" t="inlineStr">
        <is>
          <t>consilium/governance/tests/test_lifecycle.py</t>
        </is>
      </c>
    </row>
    <row r="252" ht="30" customHeight="1">
      <c r="A252" s="2" t="inlineStr">
        <is>
          <t>G-10</t>
        </is>
      </c>
      <c r="B252" s="3" t="inlineStr">
        <is>
          <t>CGF</t>
        </is>
      </c>
      <c r="C252" s="3" t="inlineStr">
        <is>
          <t>governance.tests.test_lifecycle</t>
        </is>
      </c>
      <c r="D252" s="3" t="inlineStr">
        <is>
          <t>TestAnnualReview</t>
        </is>
      </c>
      <c r="E252" s="3" t="inlineStr">
        <is>
          <t>test_a_missing_second_signature_is_visible_as_an_exception</t>
        </is>
      </c>
      <c r="F252" s="3" t="inlineStr">
        <is>
          <t>whole class</t>
        </is>
      </c>
      <c r="G252" s="2" t="n">
        <v>4</v>
      </c>
      <c r="H252" s="2" t="n">
        <v>4</v>
      </c>
      <c r="I252" s="3" t="inlineStr">
        <is>
          <t>consilium/governance/tests/test_lifecycle.py</t>
        </is>
      </c>
    </row>
    <row r="253" ht="17" customHeight="1">
      <c r="A253" s="2" t="inlineStr">
        <is>
          <t>G-10</t>
        </is>
      </c>
      <c r="B253" s="3" t="inlineStr">
        <is>
          <t>CGF</t>
        </is>
      </c>
      <c r="C253" s="3" t="inlineStr">
        <is>
          <t>governance.tests.test_w3_guides</t>
        </is>
      </c>
      <c r="D253" s="3" t="inlineStr">
        <is>
          <t>TestAnnualReviewFromTheForum</t>
        </is>
      </c>
      <c r="E253" s="3" t="inlineStr">
        <is>
          <t>test_started_signed_and_recorded_from_the_forum</t>
        </is>
      </c>
      <c r="F253" s="3" t="inlineStr">
        <is>
          <t>whole class</t>
        </is>
      </c>
      <c r="G253" s="2" t="n">
        <v>4</v>
      </c>
      <c r="H253" s="2" t="n">
        <v>4</v>
      </c>
      <c r="I253" s="3" t="inlineStr">
        <is>
          <t>consilium/governance/tests/test_w3_guides.py</t>
        </is>
      </c>
    </row>
    <row r="254" ht="17" customHeight="1">
      <c r="A254" s="2" t="inlineStr">
        <is>
          <t>G-10</t>
        </is>
      </c>
      <c r="B254" s="3" t="inlineStr">
        <is>
          <t>CGF</t>
        </is>
      </c>
      <c r="C254" s="3" t="inlineStr">
        <is>
          <t>governance.tests.test_w3_guides</t>
        </is>
      </c>
      <c r="D254" s="3" t="inlineStr">
        <is>
          <t>TestAnnualReviewFromTheForum</t>
        </is>
      </c>
      <c r="E254" s="3" t="inlineStr">
        <is>
          <t>test_only_the_office_starts_it_and_the_refusal_is_audited</t>
        </is>
      </c>
      <c r="F254" s="3" t="inlineStr">
        <is>
          <t>whole class</t>
        </is>
      </c>
      <c r="G254" s="2" t="n">
        <v>4</v>
      </c>
      <c r="H254" s="2" t="n">
        <v>4</v>
      </c>
      <c r="I254" s="3" t="inlineStr">
        <is>
          <t>consilium/governance/tests/test_w3_guides.py</t>
        </is>
      </c>
    </row>
    <row r="255" ht="30" customHeight="1">
      <c r="A255" s="2" t="inlineStr">
        <is>
          <t>G-10</t>
        </is>
      </c>
      <c r="B255" s="3" t="inlineStr">
        <is>
          <t>CGF</t>
        </is>
      </c>
      <c r="C255" s="3" t="inlineStr">
        <is>
          <t>governance.tests.test_w3_guides</t>
        </is>
      </c>
      <c r="D255" s="3" t="inlineStr">
        <is>
          <t>TestAnnualReviewFromTheForum</t>
        </is>
      </c>
      <c r="E255" s="3" t="inlineStr">
        <is>
          <t>test_a_lapsed_review_can_be_started_again_in_the_same_year</t>
        </is>
      </c>
      <c r="F255" s="3" t="inlineStr">
        <is>
          <t>whole class</t>
        </is>
      </c>
      <c r="G255" s="2" t="n">
        <v>4</v>
      </c>
      <c r="H255" s="2" t="n">
        <v>4</v>
      </c>
      <c r="I255" s="3" t="inlineStr">
        <is>
          <t>consilium/governance/tests/test_w3_guides.py</t>
        </is>
      </c>
    </row>
    <row r="256" ht="30" customHeight="1">
      <c r="A256" s="2" t="inlineStr">
        <is>
          <t>G-10</t>
        </is>
      </c>
      <c r="B256" s="3" t="inlineStr">
        <is>
          <t>CGF</t>
        </is>
      </c>
      <c r="C256" s="3" t="inlineStr">
        <is>
          <t>governance.tests.test_w3_guides</t>
        </is>
      </c>
      <c r="D256" s="3" t="inlineStr">
        <is>
          <t>TestAnnualReviewFromTheForum</t>
        </is>
      </c>
      <c r="E256" s="3" t="inlineStr">
        <is>
          <t>test_a_forum_without_its_second_signatory_cannot_start_one</t>
        </is>
      </c>
      <c r="F256" s="3" t="inlineStr">
        <is>
          <t>whole class</t>
        </is>
      </c>
      <c r="G256" s="2" t="n">
        <v>4</v>
      </c>
      <c r="H256" s="2" t="n">
        <v>4</v>
      </c>
      <c r="I256" s="3" t="inlineStr">
        <is>
          <t>consilium/governance/tests/test_w3_guides.py</t>
        </is>
      </c>
    </row>
    <row r="257" ht="17" customHeight="1">
      <c r="A257" s="2" t="inlineStr">
        <is>
          <t>G-10</t>
        </is>
      </c>
      <c r="B257" s="3" t="inlineStr">
        <is>
          <t>CGF</t>
        </is>
      </c>
      <c r="C257" s="3" t="inlineStr">
        <is>
          <t>governance.tests.test_inventory</t>
        </is>
      </c>
      <c r="D257" s="3" t="inlineStr">
        <is>
          <t>TestAttestationStamp</t>
        </is>
      </c>
      <c r="E257" s="3" t="inlineStr">
        <is>
          <t>test_a_completed_attestation_stamps_the_forum</t>
        </is>
      </c>
      <c r="F257" s="3" t="inlineStr">
        <is>
          <t>whole class</t>
        </is>
      </c>
      <c r="G257" s="2" t="n">
        <v>3</v>
      </c>
      <c r="H257" s="2" t="n">
        <v>3</v>
      </c>
      <c r="I257" s="3" t="inlineStr">
        <is>
          <t>consilium/governance/tests/test_inventory.py</t>
        </is>
      </c>
    </row>
    <row r="258" ht="17" customHeight="1">
      <c r="A258" s="2" t="inlineStr">
        <is>
          <t>G-10</t>
        </is>
      </c>
      <c r="B258" s="3" t="inlineStr">
        <is>
          <t>CGF</t>
        </is>
      </c>
      <c r="C258" s="3" t="inlineStr">
        <is>
          <t>governance.tests.test_inventory</t>
        </is>
      </c>
      <c r="D258" s="3" t="inlineStr">
        <is>
          <t>TestAttestationStamp</t>
        </is>
      </c>
      <c r="E258" s="3" t="inlineStr">
        <is>
          <t>test_the_sweep_stamps_every_completed_task</t>
        </is>
      </c>
      <c r="F258" s="3" t="inlineStr">
        <is>
          <t>whole class</t>
        </is>
      </c>
      <c r="G258" s="2" t="n">
        <v>3</v>
      </c>
      <c r="H258" s="2" t="n">
        <v>3</v>
      </c>
      <c r="I258" s="3" t="inlineStr">
        <is>
          <t>consilium/governance/tests/test_inventory.py</t>
        </is>
      </c>
    </row>
    <row r="259" ht="17" customHeight="1">
      <c r="A259" s="2" t="inlineStr">
        <is>
          <t>G-10</t>
        </is>
      </c>
      <c r="B259" s="3" t="inlineStr">
        <is>
          <t>CGF</t>
        </is>
      </c>
      <c r="C259" s="3" t="inlineStr">
        <is>
          <t>governance.tests.test_inventory</t>
        </is>
      </c>
      <c r="D259" s="3" t="inlineStr">
        <is>
          <t>TestAttestationStamp</t>
        </is>
      </c>
      <c r="E259" s="3" t="inlineStr">
        <is>
          <t>test_a_declined_attestation_still_stamps_but_flags_review</t>
        </is>
      </c>
      <c r="F259" s="3" t="inlineStr">
        <is>
          <t>whole class</t>
        </is>
      </c>
      <c r="G259" s="2" t="n">
        <v>3</v>
      </c>
      <c r="H259" s="2" t="n">
        <v>3</v>
      </c>
      <c r="I259" s="3" t="inlineStr">
        <is>
          <t>consilium/governance/tests/test_inventory.py</t>
        </is>
      </c>
    </row>
    <row r="260" ht="17" customHeight="1">
      <c r="A260" s="2" t="inlineStr">
        <is>
          <t>G-11</t>
        </is>
      </c>
      <c r="B260" s="3" t="inlineStr">
        <is>
          <t>CGF</t>
        </is>
      </c>
      <c r="C260" s="3" t="inlineStr">
        <is>
          <t>governance.tests.test_governance_gaps</t>
        </is>
      </c>
      <c r="D260" s="3" t="inlineStr">
        <is>
          <t>TestDisbandmentPortal</t>
        </is>
      </c>
      <c r="E260" s="3" t="inlineStr">
        <is>
          <t>test_raising_names_g11s_approvers_and_asks_them</t>
        </is>
      </c>
      <c r="F260" s="3" t="inlineStr">
        <is>
          <t>whole class</t>
        </is>
      </c>
      <c r="G260" s="2" t="n">
        <v>8</v>
      </c>
      <c r="H260" s="2" t="n">
        <v>8</v>
      </c>
      <c r="I260" s="3" t="inlineStr">
        <is>
          <t>consilium/governance/tests/test_governance_gaps.py</t>
        </is>
      </c>
    </row>
    <row r="261" ht="17" customHeight="1">
      <c r="A261" s="2" t="inlineStr">
        <is>
          <t>G-11</t>
        </is>
      </c>
      <c r="B261" s="3" t="inlineStr">
        <is>
          <t>CGF</t>
        </is>
      </c>
      <c r="C261" s="3" t="inlineStr">
        <is>
          <t>governance.tests.test_governance_gaps</t>
        </is>
      </c>
      <c r="D261" s="3" t="inlineStr">
        <is>
          <t>TestDisbandmentPortal</t>
        </is>
      </c>
      <c r="E261" s="3" t="inlineStr">
        <is>
          <t>test_raising_refuses_an_incomplete_or_improper_plan</t>
        </is>
      </c>
      <c r="F261" s="3" t="inlineStr">
        <is>
          <t>whole class</t>
        </is>
      </c>
      <c r="G261" s="2" t="n">
        <v>8</v>
      </c>
      <c r="H261" s="2" t="n">
        <v>8</v>
      </c>
      <c r="I261" s="3" t="inlineStr">
        <is>
          <t>consilium/governance/tests/test_governance_gaps.py</t>
        </is>
      </c>
    </row>
    <row r="262" ht="17" customHeight="1">
      <c r="A262" s="2" t="inlineStr">
        <is>
          <t>G-11</t>
        </is>
      </c>
      <c r="B262" s="3" t="inlineStr">
        <is>
          <t>CGF</t>
        </is>
      </c>
      <c r="C262" s="3" t="inlineStr">
        <is>
          <t>governance.tests.test_governance_gaps</t>
        </is>
      </c>
      <c r="D262" s="3" t="inlineStr">
        <is>
          <t>TestDisbandmentPortal</t>
        </is>
      </c>
      <c r="E262" s="3" t="inlineStr">
        <is>
          <t>test_raising_belongs_to_the_governance_office</t>
        </is>
      </c>
      <c r="F262" s="3" t="inlineStr">
        <is>
          <t>whole class</t>
        </is>
      </c>
      <c r="G262" s="2" t="n">
        <v>8</v>
      </c>
      <c r="H262" s="2" t="n">
        <v>8</v>
      </c>
      <c r="I262" s="3" t="inlineStr">
        <is>
          <t>consilium/governance/tests/test_governance_gaps.py</t>
        </is>
      </c>
    </row>
    <row r="263" ht="17" customHeight="1">
      <c r="A263" s="2" t="inlineStr">
        <is>
          <t>G-11</t>
        </is>
      </c>
      <c r="B263" s="3" t="inlineStr">
        <is>
          <t>CGF</t>
        </is>
      </c>
      <c r="C263" s="3" t="inlineStr">
        <is>
          <t>governance.tests.test_governance_gaps</t>
        </is>
      </c>
      <c r="D263" s="3" t="inlineStr">
        <is>
          <t>TestDisbandmentPortal</t>
        </is>
      </c>
      <c r="E263" s="3" t="inlineStr">
        <is>
          <t>test_decisions_are_the_approvers_or_their_delegates</t>
        </is>
      </c>
      <c r="F263" s="3" t="inlineStr">
        <is>
          <t>whole class</t>
        </is>
      </c>
      <c r="G263" s="2" t="n">
        <v>8</v>
      </c>
      <c r="H263" s="2" t="n">
        <v>8</v>
      </c>
      <c r="I263" s="3" t="inlineStr">
        <is>
          <t>consilium/governance/tests/test_governance_gaps.py</t>
        </is>
      </c>
    </row>
    <row r="264" ht="17" customHeight="1">
      <c r="A264" s="2" t="inlineStr">
        <is>
          <t>G-11</t>
        </is>
      </c>
      <c r="B264" s="3" t="inlineStr">
        <is>
          <t>CGF</t>
        </is>
      </c>
      <c r="C264" s="3" t="inlineStr">
        <is>
          <t>governance.tests.test_governance_gaps</t>
        </is>
      </c>
      <c r="D264" s="3" t="inlineStr">
        <is>
          <t>TestDisbandmentPortal</t>
        </is>
      </c>
      <c r="E264" s="3" t="inlineStr">
        <is>
          <t>test_an_approval_of_another_plan_is_refused</t>
        </is>
      </c>
      <c r="F264" s="3" t="inlineStr">
        <is>
          <t>whole class</t>
        </is>
      </c>
      <c r="G264" s="2" t="n">
        <v>8</v>
      </c>
      <c r="H264" s="2" t="n">
        <v>8</v>
      </c>
      <c r="I264" s="3" t="inlineStr">
        <is>
          <t>consilium/governance/tests/test_governance_gaps.py</t>
        </is>
      </c>
    </row>
    <row r="265" ht="30" customHeight="1">
      <c r="A265" s="2" t="inlineStr">
        <is>
          <t>G-11</t>
        </is>
      </c>
      <c r="B265" s="3" t="inlineStr">
        <is>
          <t>CGF</t>
        </is>
      </c>
      <c r="C265" s="3" t="inlineStr">
        <is>
          <t>governance.tests.test_governance_gaps</t>
        </is>
      </c>
      <c r="D265" s="3" t="inlineStr">
        <is>
          <t>TestDisbandmentPortal</t>
        </is>
      </c>
      <c r="E265" s="3" t="inlineStr">
        <is>
          <t>test_execution_waits_for_every_approval_then_leaves_the_forum_inactive</t>
        </is>
      </c>
      <c r="F265" s="3" t="inlineStr">
        <is>
          <t>whole class</t>
        </is>
      </c>
      <c r="G265" s="2" t="n">
        <v>8</v>
      </c>
      <c r="H265" s="2" t="n">
        <v>8</v>
      </c>
      <c r="I265" s="3" t="inlineStr">
        <is>
          <t>consilium/governance/tests/test_governance_gaps.py</t>
        </is>
      </c>
    </row>
    <row r="266" ht="17" customHeight="1">
      <c r="A266" s="2" t="inlineStr">
        <is>
          <t>G-11</t>
        </is>
      </c>
      <c r="B266" s="3" t="inlineStr">
        <is>
          <t>CGF</t>
        </is>
      </c>
      <c r="C266" s="3" t="inlineStr">
        <is>
          <t>governance.tests.test_governance_gaps</t>
        </is>
      </c>
      <c r="D266" s="3" t="inlineStr">
        <is>
          <t>TestDisbandmentPortal</t>
        </is>
      </c>
      <c r="E266" s="3" t="inlineStr">
        <is>
          <t>test_a_refusal_stops_the_plan_and_a_new_one_may_be_raised</t>
        </is>
      </c>
      <c r="F266" s="3" t="inlineStr">
        <is>
          <t>whole class</t>
        </is>
      </c>
      <c r="G266" s="2" t="n">
        <v>8</v>
      </c>
      <c r="H266" s="2" t="n">
        <v>8</v>
      </c>
      <c r="I266" s="3" t="inlineStr">
        <is>
          <t>consilium/governance/tests/test_governance_gaps.py</t>
        </is>
      </c>
    </row>
    <row r="267" ht="17" customHeight="1">
      <c r="A267" s="2" t="inlineStr">
        <is>
          <t>G-11</t>
        </is>
      </c>
      <c r="B267" s="3" t="inlineStr">
        <is>
          <t>CGF</t>
        </is>
      </c>
      <c r="C267" s="3" t="inlineStr">
        <is>
          <t>governance.tests.test_governance_gaps</t>
        </is>
      </c>
      <c r="D267" s="3" t="inlineStr">
        <is>
          <t>TestDisbandmentPortal</t>
        </is>
      </c>
      <c r="E267" s="3" t="inlineStr">
        <is>
          <t>test_who_may_see_the_disbandment</t>
        </is>
      </c>
      <c r="F267" s="3" t="inlineStr">
        <is>
          <t>whole class</t>
        </is>
      </c>
      <c r="G267" s="2" t="n">
        <v>8</v>
      </c>
      <c r="H267" s="2" t="n">
        <v>8</v>
      </c>
      <c r="I267" s="3" t="inlineStr">
        <is>
          <t>consilium/governance/tests/test_governance_gaps.py</t>
        </is>
      </c>
    </row>
    <row r="268" ht="17" customHeight="1">
      <c r="A268" s="2" t="inlineStr">
        <is>
          <t>G-11</t>
        </is>
      </c>
      <c r="B268" s="3" t="inlineStr">
        <is>
          <t>CGF</t>
        </is>
      </c>
      <c r="C268" s="3" t="inlineStr">
        <is>
          <t>governance.tests.test_lifecycle</t>
        </is>
      </c>
      <c r="D268" s="3" t="inlineStr">
        <is>
          <t>TestDisbandment</t>
        </is>
      </c>
      <c r="E268" s="3" t="inlineStr">
        <is>
          <t>test_my_work_says_what_a_disbandment_approver_is_deciding</t>
        </is>
      </c>
      <c r="F268" s="3" t="inlineStr">
        <is>
          <t>whole class</t>
        </is>
      </c>
      <c r="G268" s="2" t="n">
        <v>5</v>
      </c>
      <c r="H268" s="2" t="n">
        <v>5</v>
      </c>
      <c r="I268" s="3" t="inlineStr">
        <is>
          <t>consilium/governance/tests/test_lifecycle.py</t>
        </is>
      </c>
    </row>
    <row r="269" ht="17" customHeight="1">
      <c r="A269" s="2" t="inlineStr">
        <is>
          <t>G-11</t>
        </is>
      </c>
      <c r="B269" s="3" t="inlineStr">
        <is>
          <t>CGF</t>
        </is>
      </c>
      <c r="C269" s="3" t="inlineStr">
        <is>
          <t>governance.tests.test_lifecycle</t>
        </is>
      </c>
      <c r="D269" s="3" t="inlineStr">
        <is>
          <t>TestDisbandment</t>
        </is>
      </c>
      <c r="E269" s="3" t="inlineStr">
        <is>
          <t>test_approval_step_names_read_as_seats</t>
        </is>
      </c>
      <c r="F269" s="3" t="inlineStr">
        <is>
          <t>whole class</t>
        </is>
      </c>
      <c r="G269" s="2" t="n">
        <v>5</v>
      </c>
      <c r="H269" s="2" t="n">
        <v>5</v>
      </c>
      <c r="I269" s="3" t="inlineStr">
        <is>
          <t>consilium/governance/tests/test_lifecycle.py</t>
        </is>
      </c>
    </row>
    <row r="270" ht="30" customHeight="1">
      <c r="A270" s="2" t="inlineStr">
        <is>
          <t>G-11</t>
        </is>
      </c>
      <c r="B270" s="3" t="inlineStr">
        <is>
          <t>CGF</t>
        </is>
      </c>
      <c r="C270" s="3" t="inlineStr">
        <is>
          <t>governance.tests.test_lifecycle</t>
        </is>
      </c>
      <c r="D270" s="3" t="inlineStr">
        <is>
          <t>TestDisbandment</t>
        </is>
      </c>
      <c r="E270" s="3" t="inlineStr">
        <is>
          <t>test_a_forum_cannot_be_disbanded_while_an_approval_is_outstanding</t>
        </is>
      </c>
      <c r="F270" s="3" t="inlineStr">
        <is>
          <t>whole class</t>
        </is>
      </c>
      <c r="G270" s="2" t="n">
        <v>5</v>
      </c>
      <c r="H270" s="2" t="n">
        <v>5</v>
      </c>
      <c r="I270" s="3" t="inlineStr">
        <is>
          <t>consilium/governance/tests/test_lifecycle.py</t>
        </is>
      </c>
    </row>
    <row r="271" ht="30" customHeight="1">
      <c r="A271" s="2" t="inlineStr">
        <is>
          <t>G-11</t>
        </is>
      </c>
      <c r="B271" s="3" t="inlineStr">
        <is>
          <t>CGF</t>
        </is>
      </c>
      <c r="C271" s="3" t="inlineStr">
        <is>
          <t>governance.tests.test_lifecycle</t>
        </is>
      </c>
      <c r="D271" s="3" t="inlineStr">
        <is>
          <t>TestDisbandment</t>
        </is>
      </c>
      <c r="E271" s="3" t="inlineStr">
        <is>
          <t>test_an_approved_disbandment_makes_the_forum_inactive_not_deleted</t>
        </is>
      </c>
      <c r="F271" s="3" t="inlineStr">
        <is>
          <t>whole class</t>
        </is>
      </c>
      <c r="G271" s="2" t="n">
        <v>5</v>
      </c>
      <c r="H271" s="2" t="n">
        <v>5</v>
      </c>
      <c r="I271" s="3" t="inlineStr">
        <is>
          <t>consilium/governance/tests/test_lifecycle.py</t>
        </is>
      </c>
    </row>
    <row r="272" ht="17" customHeight="1">
      <c r="A272" s="2" t="inlineStr">
        <is>
          <t>G-11</t>
        </is>
      </c>
      <c r="B272" s="3" t="inlineStr">
        <is>
          <t>CGF</t>
        </is>
      </c>
      <c r="C272" s="3" t="inlineStr">
        <is>
          <t>governance.tests.test_lifecycle</t>
        </is>
      </c>
      <c r="D272" s="3" t="inlineStr">
        <is>
          <t>TestDisbandment</t>
        </is>
      </c>
      <c r="E272" s="3" t="inlineStr">
        <is>
          <t>test_deleting_a_forum_is_refused_and_audited</t>
        </is>
      </c>
      <c r="F272" s="3" t="inlineStr">
        <is>
          <t>whole class</t>
        </is>
      </c>
      <c r="G272" s="2" t="n">
        <v>5</v>
      </c>
      <c r="H272" s="2" t="n">
        <v>5</v>
      </c>
      <c r="I272" s="3" t="inlineStr">
        <is>
          <t>consilium/governance/tests/test_lifecycle.py</t>
        </is>
      </c>
    </row>
    <row r="273" ht="17" customHeight="1">
      <c r="A273" s="2" t="inlineStr">
        <is>
          <t>G-11</t>
        </is>
      </c>
      <c r="B273" s="3" t="inlineStr">
        <is>
          <t>CGF</t>
        </is>
      </c>
      <c r="C273" s="3" t="inlineStr">
        <is>
          <t>governance.tests.test_entities</t>
        </is>
      </c>
      <c r="D273" s="3" t="inlineStr">
        <is>
          <t>TestGovernanceEntities</t>
        </is>
      </c>
      <c r="E273" s="3" t="inlineStr">
        <is>
          <t>test_a_disbandment_plan_needs_the_approvals_it_requires</t>
        </is>
      </c>
      <c r="F273" s="3" t="inlineStr">
        <is>
          <t>named method</t>
        </is>
      </c>
      <c r="G273" s="2" t="n"/>
      <c r="H273" s="2" t="n">
        <v>1</v>
      </c>
      <c r="I273" s="3" t="inlineStr">
        <is>
          <t>consilium/governance/tests/test_entities.py</t>
        </is>
      </c>
    </row>
    <row r="274" ht="30" customHeight="1">
      <c r="A274" s="2" t="inlineStr">
        <is>
          <t>G-11</t>
        </is>
      </c>
      <c r="B274" s="3" t="inlineStr">
        <is>
          <t>CGF</t>
        </is>
      </c>
      <c r="C274" s="3" t="inlineStr">
        <is>
          <t>governance.tests.test_formation_portal</t>
        </is>
      </c>
      <c r="D274" s="3" t="inlineStr">
        <is>
          <t>TestComplianceReviewThroughThePortal</t>
        </is>
      </c>
      <c r="E274" s="3" t="inlineStr">
        <is>
          <t>test_a_disbanded_forum_is_not_reviewed_again</t>
        </is>
      </c>
      <c r="F274" s="3" t="inlineStr">
        <is>
          <t>named method</t>
        </is>
      </c>
      <c r="G274" s="2" t="n"/>
      <c r="H274" s="2" t="n">
        <v>1</v>
      </c>
      <c r="I274" s="3" t="inlineStr">
        <is>
          <t>consilium/governance/tests/test_formation_portal.py</t>
        </is>
      </c>
    </row>
    <row r="275" ht="17" customHeight="1">
      <c r="A275" s="2" t="inlineStr">
        <is>
          <t>G-12</t>
        </is>
      </c>
      <c r="B275" s="3" t="inlineStr">
        <is>
          <t>CGF</t>
        </is>
      </c>
      <c r="C275" s="3" t="inlineStr">
        <is>
          <t>consilium_core.tests.test_ai_features</t>
        </is>
      </c>
      <c r="D275" s="3" t="inlineStr">
        <is>
          <t>TestGaps</t>
        </is>
      </c>
      <c r="E275" s="3" t="inlineStr">
        <is>
          <t>test_forum_policy_regulatory_and_coverage_gaps_are_found</t>
        </is>
      </c>
      <c r="F275" s="3" t="inlineStr">
        <is>
          <t>named method</t>
        </is>
      </c>
      <c r="G275" s="2" t="n"/>
      <c r="H275" s="2" t="n">
        <v>1</v>
      </c>
      <c r="I275" s="3" t="inlineStr">
        <is>
          <t>consilium/consilium_core/tests/test_ai_features.py</t>
        </is>
      </c>
    </row>
    <row r="276" ht="17" customHeight="1">
      <c r="A276" s="2" t="inlineStr">
        <is>
          <t>G-12</t>
        </is>
      </c>
      <c r="B276" s="3" t="inlineStr">
        <is>
          <t>CGF</t>
        </is>
      </c>
      <c r="C276" s="3" t="inlineStr">
        <is>
          <t>consilium_core.tests.test_ai_features</t>
        </is>
      </c>
      <c r="D276" s="3" t="inlineStr">
        <is>
          <t>TestPages</t>
        </is>
      </c>
      <c r="E276" s="3" t="inlineStr">
        <is>
          <t>test_the_pages_render_for_a_signed_in_reader</t>
        </is>
      </c>
      <c r="F276" s="3" t="inlineStr">
        <is>
          <t>whole class</t>
        </is>
      </c>
      <c r="G276" s="2" t="n">
        <v>1</v>
      </c>
      <c r="H276" s="2" t="n">
        <v>1</v>
      </c>
      <c r="I276" s="3" t="inlineStr">
        <is>
          <t>consilium/consilium_core/tests/test_ai_features.py</t>
        </is>
      </c>
    </row>
    <row r="277" ht="17" customHeight="1">
      <c r="A277" s="2" t="inlineStr">
        <is>
          <t>G-12</t>
        </is>
      </c>
      <c r="B277" s="3" t="inlineStr">
        <is>
          <t>CGF</t>
        </is>
      </c>
      <c r="C277" s="3" t="inlineStr">
        <is>
          <t>consilium_core.tests.test_portal_pages</t>
        </is>
      </c>
      <c r="D277" s="3" t="inlineStr">
        <is>
          <t>TestAdministrator</t>
        </is>
      </c>
      <c r="E277" s="3" t="inlineStr">
        <is>
          <t>test_every_page_renders_with_its_key_sections</t>
        </is>
      </c>
      <c r="F277" s="3" t="inlineStr">
        <is>
          <t>named method</t>
        </is>
      </c>
      <c r="G277" s="2" t="n"/>
      <c r="H277" s="2" t="n">
        <v>1</v>
      </c>
      <c r="I277" s="3" t="inlineStr">
        <is>
          <t>consilium/consilium_core/tests/test_portal_pages.py</t>
        </is>
      </c>
    </row>
    <row r="278" ht="17" customHeight="1">
      <c r="A278" s="2" t="inlineStr">
        <is>
          <t>G-13</t>
        </is>
      </c>
      <c r="B278" s="3" t="inlineStr">
        <is>
          <t>CGF</t>
        </is>
      </c>
      <c r="C278" s="3" t="inlineStr">
        <is>
          <t>consilium_core.tests.test_delegation</t>
        </is>
      </c>
      <c r="D278" s="3" t="inlineStr">
        <is>
          <t>TestDelegation</t>
        </is>
      </c>
      <c r="E278" s="3" t="inlineStr">
        <is>
          <t>test_a_live_delegation_permits_the_named_action</t>
        </is>
      </c>
      <c r="F278" s="3" t="inlineStr">
        <is>
          <t>whole class</t>
        </is>
      </c>
      <c r="G278" s="2" t="n">
        <v>13</v>
      </c>
      <c r="H278" s="2" t="n">
        <v>13</v>
      </c>
      <c r="I278" s="3" t="inlineStr">
        <is>
          <t>consilium/consilium_core/tests/test_delegation.py</t>
        </is>
      </c>
    </row>
    <row r="279" ht="17" customHeight="1">
      <c r="A279" s="2" t="inlineStr">
        <is>
          <t>G-13</t>
        </is>
      </c>
      <c r="B279" s="3" t="inlineStr">
        <is>
          <t>CGF</t>
        </is>
      </c>
      <c r="C279" s="3" t="inlineStr">
        <is>
          <t>consilium_core.tests.test_delegation</t>
        </is>
      </c>
      <c r="D279" s="3" t="inlineStr">
        <is>
          <t>TestDelegation</t>
        </is>
      </c>
      <c r="E279" s="3" t="inlineStr">
        <is>
          <t>test_an_action_that_was_not_delegated_is_refused</t>
        </is>
      </c>
      <c r="F279" s="3" t="inlineStr">
        <is>
          <t>whole class</t>
        </is>
      </c>
      <c r="G279" s="2" t="n">
        <v>13</v>
      </c>
      <c r="H279" s="2" t="n">
        <v>13</v>
      </c>
      <c r="I279" s="3" t="inlineStr">
        <is>
          <t>consilium/consilium_core/tests/test_delegation.py</t>
        </is>
      </c>
    </row>
    <row r="280" ht="17" customHeight="1">
      <c r="A280" s="2" t="inlineStr">
        <is>
          <t>G-13</t>
        </is>
      </c>
      <c r="B280" s="3" t="inlineStr">
        <is>
          <t>CGF</t>
        </is>
      </c>
      <c r="C280" s="3" t="inlineStr">
        <is>
          <t>consilium_core.tests.test_delegation</t>
        </is>
      </c>
      <c r="D280" s="3" t="inlineStr">
        <is>
          <t>TestDelegation</t>
        </is>
      </c>
      <c r="E280" s="3" t="inlineStr">
        <is>
          <t>test_a_delegation_outside_its_dates_does_not_apply</t>
        </is>
      </c>
      <c r="F280" s="3" t="inlineStr">
        <is>
          <t>whole class</t>
        </is>
      </c>
      <c r="G280" s="2" t="n">
        <v>13</v>
      </c>
      <c r="H280" s="2" t="n">
        <v>13</v>
      </c>
      <c r="I280" s="3" t="inlineStr">
        <is>
          <t>consilium/consilium_core/tests/test_delegation.py</t>
        </is>
      </c>
    </row>
    <row r="281" ht="17" customHeight="1">
      <c r="A281" s="2" t="inlineStr">
        <is>
          <t>G-13</t>
        </is>
      </c>
      <c r="B281" s="3" t="inlineStr">
        <is>
          <t>CGF</t>
        </is>
      </c>
      <c r="C281" s="3" t="inlineStr">
        <is>
          <t>consilium_core.tests.test_delegation</t>
        </is>
      </c>
      <c r="D281" s="3" t="inlineStr">
        <is>
          <t>TestDelegation</t>
        </is>
      </c>
      <c r="E281" s="3" t="inlineStr">
        <is>
          <t>test_a_delegation_of_another_doctype_does_not_apply</t>
        </is>
      </c>
      <c r="F281" s="3" t="inlineStr">
        <is>
          <t>whole class</t>
        </is>
      </c>
      <c r="G281" s="2" t="n">
        <v>13</v>
      </c>
      <c r="H281" s="2" t="n">
        <v>13</v>
      </c>
      <c r="I281" s="3" t="inlineStr">
        <is>
          <t>consilium/consilium_core/tests/test_delegation.py</t>
        </is>
      </c>
    </row>
    <row r="282" ht="17" customHeight="1">
      <c r="A282" s="2" t="inlineStr">
        <is>
          <t>G-13</t>
        </is>
      </c>
      <c r="B282" s="3" t="inlineStr">
        <is>
          <t>CGF</t>
        </is>
      </c>
      <c r="C282" s="3" t="inlineStr">
        <is>
          <t>consilium_core.tests.test_delegation</t>
        </is>
      </c>
      <c r="D282" s="3" t="inlineStr">
        <is>
          <t>TestDelegation</t>
        </is>
      </c>
      <c r="E282" s="3" t="inlineStr">
        <is>
          <t>test_a_record_scope_covers_only_that_record</t>
        </is>
      </c>
      <c r="F282" s="3" t="inlineStr">
        <is>
          <t>whole class</t>
        </is>
      </c>
      <c r="G282" s="2" t="n">
        <v>13</v>
      </c>
      <c r="H282" s="2" t="n">
        <v>13</v>
      </c>
      <c r="I282" s="3" t="inlineStr">
        <is>
          <t>consilium/consilium_core/tests/test_delegation.py</t>
        </is>
      </c>
    </row>
    <row r="283" ht="17" customHeight="1">
      <c r="A283" s="2" t="inlineStr">
        <is>
          <t>G-13</t>
        </is>
      </c>
      <c r="B283" s="3" t="inlineStr">
        <is>
          <t>CGF</t>
        </is>
      </c>
      <c r="C283" s="3" t="inlineStr">
        <is>
          <t>consilium_core.tests.test_delegation</t>
        </is>
      </c>
      <c r="D283" s="3" t="inlineStr">
        <is>
          <t>TestDelegation</t>
        </is>
      </c>
      <c r="E283" s="3" t="inlineStr">
        <is>
          <t>test_a_third_party_is_not_covered</t>
        </is>
      </c>
      <c r="F283" s="3" t="inlineStr">
        <is>
          <t>whole class</t>
        </is>
      </c>
      <c r="G283" s="2" t="n">
        <v>13</v>
      </c>
      <c r="H283" s="2" t="n">
        <v>13</v>
      </c>
      <c r="I283" s="3" t="inlineStr">
        <is>
          <t>consilium/consilium_core/tests/test_delegation.py</t>
        </is>
      </c>
    </row>
    <row r="284" ht="17" customHeight="1">
      <c r="A284" s="2" t="inlineStr">
        <is>
          <t>G-13</t>
        </is>
      </c>
      <c r="B284" s="3" t="inlineStr">
        <is>
          <t>CGF</t>
        </is>
      </c>
      <c r="C284" s="3" t="inlineStr">
        <is>
          <t>consilium_core.tests.test_delegation</t>
        </is>
      </c>
      <c r="D284" s="3" t="inlineStr">
        <is>
          <t>TestDelegation</t>
        </is>
      </c>
      <c r="E284" s="3" t="inlineStr">
        <is>
          <t>test_the_accountable_person_always_acts_for_themselves</t>
        </is>
      </c>
      <c r="F284" s="3" t="inlineStr">
        <is>
          <t>whole class</t>
        </is>
      </c>
      <c r="G284" s="2" t="n">
        <v>13</v>
      </c>
      <c r="H284" s="2" t="n">
        <v>13</v>
      </c>
      <c r="I284" s="3" t="inlineStr">
        <is>
          <t>consilium/consilium_core/tests/test_delegation.py</t>
        </is>
      </c>
    </row>
    <row r="285" ht="17" customHeight="1">
      <c r="A285" s="2" t="inlineStr">
        <is>
          <t>G-13</t>
        </is>
      </c>
      <c r="B285" s="3" t="inlineStr">
        <is>
          <t>CGF</t>
        </is>
      </c>
      <c r="C285" s="3" t="inlineStr">
        <is>
          <t>consilium_core.tests.test_delegation</t>
        </is>
      </c>
      <c r="D285" s="3" t="inlineStr">
        <is>
          <t>TestDelegation</t>
        </is>
      </c>
      <c r="E285" s="3" t="inlineStr">
        <is>
          <t>test_self_delegation_is_rejected</t>
        </is>
      </c>
      <c r="F285" s="3" t="inlineStr">
        <is>
          <t>whole class</t>
        </is>
      </c>
      <c r="G285" s="2" t="n">
        <v>13</v>
      </c>
      <c r="H285" s="2" t="n">
        <v>13</v>
      </c>
      <c r="I285" s="3" t="inlineStr">
        <is>
          <t>consilium/consilium_core/tests/test_delegation.py</t>
        </is>
      </c>
    </row>
    <row r="286" ht="17" customHeight="1">
      <c r="A286" s="2" t="inlineStr">
        <is>
          <t>G-13</t>
        </is>
      </c>
      <c r="B286" s="3" t="inlineStr">
        <is>
          <t>CGF</t>
        </is>
      </c>
      <c r="C286" s="3" t="inlineStr">
        <is>
          <t>consilium_core.tests.test_delegation</t>
        </is>
      </c>
      <c r="D286" s="3" t="inlineStr">
        <is>
          <t>TestDelegation</t>
        </is>
      </c>
      <c r="E286" s="3" t="inlineStr">
        <is>
          <t>test_a_delegation_ending_before_it_starts_is_rejected</t>
        </is>
      </c>
      <c r="F286" s="3" t="inlineStr">
        <is>
          <t>whole class</t>
        </is>
      </c>
      <c r="G286" s="2" t="n">
        <v>13</v>
      </c>
      <c r="H286" s="2" t="n">
        <v>13</v>
      </c>
      <c r="I286" s="3" t="inlineStr">
        <is>
          <t>consilium/consilium_core/tests/test_delegation.py</t>
        </is>
      </c>
    </row>
    <row r="287" ht="17" customHeight="1">
      <c r="A287" s="2" t="inlineStr">
        <is>
          <t>G-13</t>
        </is>
      </c>
      <c r="B287" s="3" t="inlineStr">
        <is>
          <t>CGF</t>
        </is>
      </c>
      <c r="C287" s="3" t="inlineStr">
        <is>
          <t>consilium_core.tests.test_delegation</t>
        </is>
      </c>
      <c r="D287" s="3" t="inlineStr">
        <is>
          <t>TestDelegation</t>
        </is>
      </c>
      <c r="E287" s="3" t="inlineStr">
        <is>
          <t>test_a_delegation_with_no_actions_is_rejected</t>
        </is>
      </c>
      <c r="F287" s="3" t="inlineStr">
        <is>
          <t>whole class</t>
        </is>
      </c>
      <c r="G287" s="2" t="n">
        <v>13</v>
      </c>
      <c r="H287" s="2" t="n">
        <v>13</v>
      </c>
      <c r="I287" s="3" t="inlineStr">
        <is>
          <t>consilium/consilium_core/tests/test_delegation.py</t>
        </is>
      </c>
    </row>
    <row r="288" ht="17" customHeight="1">
      <c r="A288" s="2" t="inlineStr">
        <is>
          <t>G-13</t>
        </is>
      </c>
      <c r="B288" s="3" t="inlineStr">
        <is>
          <t>CGF</t>
        </is>
      </c>
      <c r="C288" s="3" t="inlineStr">
        <is>
          <t>consilium_core.tests.test_delegation</t>
        </is>
      </c>
      <c r="D288" s="3" t="inlineStr">
        <is>
          <t>TestDelegation</t>
        </is>
      </c>
      <c r="E288" s="3" t="inlineStr">
        <is>
          <t>test_a_record_scope_without_a_record_is_rejected</t>
        </is>
      </c>
      <c r="F288" s="3" t="inlineStr">
        <is>
          <t>whole class</t>
        </is>
      </c>
      <c r="G288" s="2" t="n">
        <v>13</v>
      </c>
      <c r="H288" s="2" t="n">
        <v>13</v>
      </c>
      <c r="I288" s="3" t="inlineStr">
        <is>
          <t>consilium/consilium_core/tests/test_delegation.py</t>
        </is>
      </c>
    </row>
    <row r="289" ht="17" customHeight="1">
      <c r="A289" s="2" t="inlineStr">
        <is>
          <t>G-13</t>
        </is>
      </c>
      <c r="B289" s="3" t="inlineStr">
        <is>
          <t>CGF</t>
        </is>
      </c>
      <c r="C289" s="3" t="inlineStr">
        <is>
          <t>consilium_core.tests.test_delegation</t>
        </is>
      </c>
      <c r="D289" s="3" t="inlineStr">
        <is>
          <t>TestDelegation</t>
        </is>
      </c>
      <c r="E289" s="3" t="inlineStr">
        <is>
          <t>test_the_sweep_corrects_a_stale_flag</t>
        </is>
      </c>
      <c r="F289" s="3" t="inlineStr">
        <is>
          <t>whole class</t>
        </is>
      </c>
      <c r="G289" s="2" t="n">
        <v>13</v>
      </c>
      <c r="H289" s="2" t="n">
        <v>13</v>
      </c>
      <c r="I289" s="3" t="inlineStr">
        <is>
          <t>consilium/consilium_core/tests/test_delegation.py</t>
        </is>
      </c>
    </row>
    <row r="290" ht="17" customHeight="1">
      <c r="A290" s="2" t="inlineStr">
        <is>
          <t>G-13</t>
        </is>
      </c>
      <c r="B290" s="3" t="inlineStr">
        <is>
          <t>CGF</t>
        </is>
      </c>
      <c r="C290" s="3" t="inlineStr">
        <is>
          <t>consilium_core.tests.test_delegation</t>
        </is>
      </c>
      <c r="D290" s="3" t="inlineStr">
        <is>
          <t>TestDelegation</t>
        </is>
      </c>
      <c r="E290" s="3" t="inlineStr">
        <is>
          <t>test_the_database_backstops_the_date_validation</t>
        </is>
      </c>
      <c r="F290" s="3" t="inlineStr">
        <is>
          <t>whole class</t>
        </is>
      </c>
      <c r="G290" s="2" t="n">
        <v>13</v>
      </c>
      <c r="H290" s="2" t="n">
        <v>13</v>
      </c>
      <c r="I290" s="3" t="inlineStr">
        <is>
          <t>consilium/consilium_core/tests/test_delegation.py</t>
        </is>
      </c>
    </row>
    <row r="291" ht="30" customHeight="1">
      <c r="A291" s="2" t="inlineStr">
        <is>
          <t>G-13</t>
        </is>
      </c>
      <c r="B291" s="3" t="inlineStr">
        <is>
          <t>CGF</t>
        </is>
      </c>
      <c r="C291" s="3" t="inlineStr">
        <is>
          <t>consilium_core.tests.test_entities</t>
        </is>
      </c>
      <c r="D291" s="3" t="inlineStr">
        <is>
          <t>TestPermissions</t>
        </is>
      </c>
      <c r="E291" s="3" t="inlineStr">
        <is>
          <t>test_a_taxonomy_administrator_may_maintain_taxonomies_but_not_delete_them</t>
        </is>
      </c>
      <c r="F291" s="3" t="inlineStr">
        <is>
          <t>whole class</t>
        </is>
      </c>
      <c r="G291" s="2" t="n">
        <v>5</v>
      </c>
      <c r="H291" s="2" t="n">
        <v>5</v>
      </c>
      <c r="I291" s="3" t="inlineStr">
        <is>
          <t>consilium/consilium_core/tests/test_entities.py</t>
        </is>
      </c>
    </row>
    <row r="292" ht="17" customHeight="1">
      <c r="A292" s="2" t="inlineStr">
        <is>
          <t>G-13</t>
        </is>
      </c>
      <c r="B292" s="3" t="inlineStr">
        <is>
          <t>CGF</t>
        </is>
      </c>
      <c r="C292" s="3" t="inlineStr">
        <is>
          <t>consilium_core.tests.test_entities</t>
        </is>
      </c>
      <c r="D292" s="3" t="inlineStr">
        <is>
          <t>TestPermissions</t>
        </is>
      </c>
      <c r="E292" s="3" t="inlineStr">
        <is>
          <t>test_an_auditor_reads_everything_and_writes_nothing</t>
        </is>
      </c>
      <c r="F292" s="3" t="inlineStr">
        <is>
          <t>whole class</t>
        </is>
      </c>
      <c r="G292" s="2" t="n">
        <v>5</v>
      </c>
      <c r="H292" s="2" t="n">
        <v>5</v>
      </c>
      <c r="I292" s="3" t="inlineStr">
        <is>
          <t>consilium/consilium_core/tests/test_entities.py</t>
        </is>
      </c>
    </row>
    <row r="293" ht="17" customHeight="1">
      <c r="A293" s="2" t="inlineStr">
        <is>
          <t>G-13</t>
        </is>
      </c>
      <c r="B293" s="3" t="inlineStr">
        <is>
          <t>CGF</t>
        </is>
      </c>
      <c r="C293" s="3" t="inlineStr">
        <is>
          <t>consilium_core.tests.test_entities</t>
        </is>
      </c>
      <c r="D293" s="3" t="inlineStr">
        <is>
          <t>TestPermissions</t>
        </is>
      </c>
      <c r="E293" s="3" t="inlineStr">
        <is>
          <t>test_retention_is_the_records_manager_s_to_run</t>
        </is>
      </c>
      <c r="F293" s="3" t="inlineStr">
        <is>
          <t>whole class</t>
        </is>
      </c>
      <c r="G293" s="2" t="n">
        <v>5</v>
      </c>
      <c r="H293" s="2" t="n">
        <v>5</v>
      </c>
      <c r="I293" s="3" t="inlineStr">
        <is>
          <t>consilium/consilium_core/tests/test_entities.py</t>
        </is>
      </c>
    </row>
    <row r="294" ht="17" customHeight="1">
      <c r="A294" s="2" t="inlineStr">
        <is>
          <t>G-13</t>
        </is>
      </c>
      <c r="B294" s="3" t="inlineStr">
        <is>
          <t>CGF</t>
        </is>
      </c>
      <c r="C294" s="3" t="inlineStr">
        <is>
          <t>consilium_core.tests.test_entities</t>
        </is>
      </c>
      <c r="D294" s="3" t="inlineStr">
        <is>
          <t>TestPermissions</t>
        </is>
      </c>
      <c r="E294" s="3" t="inlineStr">
        <is>
          <t>test_nobody_may_write_an_append_only_artefact</t>
        </is>
      </c>
      <c r="F294" s="3" t="inlineStr">
        <is>
          <t>whole class</t>
        </is>
      </c>
      <c r="G294" s="2" t="n">
        <v>5</v>
      </c>
      <c r="H294" s="2" t="n">
        <v>5</v>
      </c>
      <c r="I294" s="3" t="inlineStr">
        <is>
          <t>consilium/consilium_core/tests/test_entities.py</t>
        </is>
      </c>
    </row>
    <row r="295" ht="17" customHeight="1">
      <c r="A295" s="2" t="inlineStr">
        <is>
          <t>G-13</t>
        </is>
      </c>
      <c r="B295" s="3" t="inlineStr">
        <is>
          <t>CGF</t>
        </is>
      </c>
      <c r="C295" s="3" t="inlineStr">
        <is>
          <t>consilium_core.tests.test_entities</t>
        </is>
      </c>
      <c r="D295" s="3" t="inlineStr">
        <is>
          <t>TestPermissions</t>
        </is>
      </c>
      <c r="E295" s="3" t="inlineStr">
        <is>
          <t>test_a_server_side_write_without_permission_is_refused</t>
        </is>
      </c>
      <c r="F295" s="3" t="inlineStr">
        <is>
          <t>whole class</t>
        </is>
      </c>
      <c r="G295" s="2" t="n">
        <v>5</v>
      </c>
      <c r="H295" s="2" t="n">
        <v>5</v>
      </c>
      <c r="I295" s="3" t="inlineStr">
        <is>
          <t>consilium/consilium_core/tests/test_entities.py</t>
        </is>
      </c>
    </row>
    <row r="296" ht="17" customHeight="1">
      <c r="A296" s="2" t="inlineStr">
        <is>
          <t>G-13</t>
        </is>
      </c>
      <c r="B296" s="3" t="inlineStr">
        <is>
          <t>CGF</t>
        </is>
      </c>
      <c r="C296" s="3" t="inlineStr">
        <is>
          <t>governance.tests.test_membership</t>
        </is>
      </c>
      <c r="D296" s="3" t="inlineStr">
        <is>
          <t>TestDelegation</t>
        </is>
      </c>
      <c r="E296" s="3" t="inlineStr">
        <is>
          <t>test_a_delegate_is_recorded_with_its_own_dates</t>
        </is>
      </c>
      <c r="F296" s="3" t="inlineStr">
        <is>
          <t>whole class</t>
        </is>
      </c>
      <c r="G296" s="2" t="n">
        <v>3</v>
      </c>
      <c r="H296" s="2" t="n">
        <v>3</v>
      </c>
      <c r="I296" s="3" t="inlineStr">
        <is>
          <t>consilium/governance/tests/test_membership.py</t>
        </is>
      </c>
    </row>
    <row r="297" ht="17" customHeight="1">
      <c r="A297" s="2" t="inlineStr">
        <is>
          <t>G-13</t>
        </is>
      </c>
      <c r="B297" s="3" t="inlineStr">
        <is>
          <t>CGF</t>
        </is>
      </c>
      <c r="C297" s="3" t="inlineStr">
        <is>
          <t>governance.tests.test_membership</t>
        </is>
      </c>
      <c r="D297" s="3" t="inlineStr">
        <is>
          <t>TestDelegation</t>
        </is>
      </c>
      <c r="E297" s="3" t="inlineStr">
        <is>
          <t>test_a_delegate_cannot_vote_for_a_seat_with_no_vote</t>
        </is>
      </c>
      <c r="F297" s="3" t="inlineStr">
        <is>
          <t>whole class</t>
        </is>
      </c>
      <c r="G297" s="2" t="n">
        <v>3</v>
      </c>
      <c r="H297" s="2" t="n">
        <v>3</v>
      </c>
      <c r="I297" s="3" t="inlineStr">
        <is>
          <t>consilium/governance/tests/test_membership.py</t>
        </is>
      </c>
    </row>
    <row r="298" ht="17" customHeight="1">
      <c r="A298" s="2" t="inlineStr">
        <is>
          <t>G-13</t>
        </is>
      </c>
      <c r="B298" s="3" t="inlineStr">
        <is>
          <t>CGF</t>
        </is>
      </c>
      <c r="C298" s="3" t="inlineStr">
        <is>
          <t>governance.tests.test_membership</t>
        </is>
      </c>
      <c r="D298" s="3" t="inlineStr">
        <is>
          <t>TestDelegation</t>
        </is>
      </c>
      <c r="E298" s="3" t="inlineStr">
        <is>
          <t>test_a_member_cannot_delegate_to_themselves</t>
        </is>
      </c>
      <c r="F298" s="3" t="inlineStr">
        <is>
          <t>whole class</t>
        </is>
      </c>
      <c r="G298" s="2" t="n">
        <v>3</v>
      </c>
      <c r="H298" s="2" t="n">
        <v>3</v>
      </c>
      <c r="I298" s="3" t="inlineStr">
        <is>
          <t>consilium/governance/tests/test_membership.py</t>
        </is>
      </c>
    </row>
    <row r="299" ht="17" customHeight="1">
      <c r="A299" s="2" t="inlineStr">
        <is>
          <t>G-13</t>
        </is>
      </c>
      <c r="B299" s="3" t="inlineStr">
        <is>
          <t>CGF</t>
        </is>
      </c>
      <c r="C299" s="3" t="inlineStr">
        <is>
          <t>governance.tests.test_voting</t>
        </is>
      </c>
      <c r="D299" s="3" t="inlineStr">
        <is>
          <t>TestDelegatedVoting</t>
        </is>
      </c>
      <c r="E299" s="3" t="inlineStr">
        <is>
          <t>test_a_delegate_votes_only_where_the_seat_permits_it</t>
        </is>
      </c>
      <c r="F299" s="3" t="inlineStr">
        <is>
          <t>whole class</t>
        </is>
      </c>
      <c r="G299" s="2" t="n">
        <v>3</v>
      </c>
      <c r="H299" s="2" t="n">
        <v>3</v>
      </c>
      <c r="I299" s="3" t="inlineStr">
        <is>
          <t>consilium/governance/tests/test_voting.py</t>
        </is>
      </c>
    </row>
    <row r="300" ht="17" customHeight="1">
      <c r="A300" s="2" t="inlineStr">
        <is>
          <t>G-13</t>
        </is>
      </c>
      <c r="B300" s="3" t="inlineStr">
        <is>
          <t>CGF</t>
        </is>
      </c>
      <c r="C300" s="3" t="inlineStr">
        <is>
          <t>governance.tests.test_voting</t>
        </is>
      </c>
      <c r="D300" s="3" t="inlineStr">
        <is>
          <t>TestDelegatedVoting</t>
        </is>
      </c>
      <c r="E300" s="3" t="inlineStr">
        <is>
          <t>test_a_delegate_outside_the_delegation_window_is_refused</t>
        </is>
      </c>
      <c r="F300" s="3" t="inlineStr">
        <is>
          <t>whole class</t>
        </is>
      </c>
      <c r="G300" s="2" t="n">
        <v>3</v>
      </c>
      <c r="H300" s="2" t="n">
        <v>3</v>
      </c>
      <c r="I300" s="3" t="inlineStr">
        <is>
          <t>consilium/governance/tests/test_voting.py</t>
        </is>
      </c>
    </row>
    <row r="301" ht="17" customHeight="1">
      <c r="A301" s="2" t="inlineStr">
        <is>
          <t>G-13</t>
        </is>
      </c>
      <c r="B301" s="3" t="inlineStr">
        <is>
          <t>CGF</t>
        </is>
      </c>
      <c r="C301" s="3" t="inlineStr">
        <is>
          <t>governance.tests.test_voting</t>
        </is>
      </c>
      <c r="D301" s="3" t="inlineStr">
        <is>
          <t>TestDelegatedVoting</t>
        </is>
      </c>
      <c r="E301" s="3" t="inlineStr">
        <is>
          <t>test_a_seat_without_delegate_voting_rights_is_refused</t>
        </is>
      </c>
      <c r="F301" s="3" t="inlineStr">
        <is>
          <t>whole class</t>
        </is>
      </c>
      <c r="G301" s="2" t="n">
        <v>3</v>
      </c>
      <c r="H301" s="2" t="n">
        <v>3</v>
      </c>
      <c r="I301" s="3" t="inlineStr">
        <is>
          <t>consilium/governance/tests/test_voting.py</t>
        </is>
      </c>
    </row>
    <row r="302" ht="30" customHeight="1">
      <c r="A302" s="2" t="inlineStr">
        <is>
          <t>G-13</t>
        </is>
      </c>
      <c r="B302" s="3" t="inlineStr">
        <is>
          <t>CGF</t>
        </is>
      </c>
      <c r="C302" s="3" t="inlineStr">
        <is>
          <t>governance.tests.test_w3_guides</t>
        </is>
      </c>
      <c r="D302" s="3" t="inlineStr">
        <is>
          <t>TestARoleIsAQueue</t>
        </is>
      </c>
      <c r="E302" s="3" t="inlineStr">
        <is>
          <t>test_the_queue_leaves_out_disabled_website_and_built_in_accounts</t>
        </is>
      </c>
      <c r="F302" s="3" t="inlineStr">
        <is>
          <t>whole class</t>
        </is>
      </c>
      <c r="G302" s="2" t="n">
        <v>5</v>
      </c>
      <c r="H302" s="2" t="n">
        <v>5</v>
      </c>
      <c r="I302" s="3" t="inlineStr">
        <is>
          <t>consilium/governance/tests/test_w3_guides.py</t>
        </is>
      </c>
    </row>
    <row r="303" ht="30" customHeight="1">
      <c r="A303" s="2" t="inlineStr">
        <is>
          <t>G-13</t>
        </is>
      </c>
      <c r="B303" s="3" t="inlineStr">
        <is>
          <t>CGF</t>
        </is>
      </c>
      <c r="C303" s="3" t="inlineStr">
        <is>
          <t>governance.tests.test_w3_guides</t>
        </is>
      </c>
      <c r="D303" s="3" t="inlineStr">
        <is>
          <t>TestARoleIsAQueue</t>
        </is>
      </c>
      <c r="E303" s="3" t="inlineStr">
        <is>
          <t>test_an_account_that_has_signed_in_heads_the_queue_over_one_that_never_has</t>
        </is>
      </c>
      <c r="F303" s="3" t="inlineStr">
        <is>
          <t>whole class</t>
        </is>
      </c>
      <c r="G303" s="2" t="n">
        <v>5</v>
      </c>
      <c r="H303" s="2" t="n">
        <v>5</v>
      </c>
      <c r="I303" s="3" t="inlineStr">
        <is>
          <t>consilium/governance/tests/test_w3_guides.py</t>
        </is>
      </c>
    </row>
    <row r="304" ht="30" customHeight="1">
      <c r="A304" s="2" t="inlineStr">
        <is>
          <t>G-13</t>
        </is>
      </c>
      <c r="B304" s="3" t="inlineStr">
        <is>
          <t>CGF</t>
        </is>
      </c>
      <c r="C304" s="3" t="inlineStr">
        <is>
          <t>governance.tests.test_w3_guides</t>
        </is>
      </c>
      <c r="D304" s="3" t="inlineStr">
        <is>
          <t>TestARoleIsAQueue</t>
        </is>
      </c>
      <c r="E304" s="3" t="inlineStr">
        <is>
          <t>test_a_holder_seated_in_the_requests_operating_group_heads_the_queue</t>
        </is>
      </c>
      <c r="F304" s="3" t="inlineStr">
        <is>
          <t>whole class</t>
        </is>
      </c>
      <c r="G304" s="2" t="n">
        <v>5</v>
      </c>
      <c r="H304" s="2" t="n">
        <v>5</v>
      </c>
      <c r="I304" s="3" t="inlineStr">
        <is>
          <t>consilium/governance/tests/test_w3_guides.py</t>
        </is>
      </c>
    </row>
    <row r="305" ht="30" customHeight="1">
      <c r="A305" s="2" t="inlineStr">
        <is>
          <t>G-13</t>
        </is>
      </c>
      <c r="B305" s="3" t="inlineStr">
        <is>
          <t>CGF</t>
        </is>
      </c>
      <c r="C305" s="3" t="inlineStr">
        <is>
          <t>governance.tests.test_w3_guides</t>
        </is>
      </c>
      <c r="D305" s="3" t="inlineStr">
        <is>
          <t>TestARoleIsAQueue</t>
        </is>
      </c>
      <c r="E305" s="3" t="inlineStr">
        <is>
          <t>test_any_member_of_the_queue_may_take_and_decide_a_role_based_step</t>
        </is>
      </c>
      <c r="F305" s="3" t="inlineStr">
        <is>
          <t>whole class</t>
        </is>
      </c>
      <c r="G305" s="2" t="n">
        <v>5</v>
      </c>
      <c r="H305" s="2" t="n">
        <v>5</v>
      </c>
      <c r="I305" s="3" t="inlineStr">
        <is>
          <t>consilium/governance/tests/test_w3_guides.py</t>
        </is>
      </c>
    </row>
    <row r="306" ht="17" customHeight="1">
      <c r="A306" s="2" t="inlineStr">
        <is>
          <t>G-13</t>
        </is>
      </c>
      <c r="B306" s="3" t="inlineStr">
        <is>
          <t>CGF</t>
        </is>
      </c>
      <c r="C306" s="3" t="inlineStr">
        <is>
          <t>governance.tests.test_w3_guides</t>
        </is>
      </c>
      <c r="D306" s="3" t="inlineStr">
        <is>
          <t>TestARoleIsAQueue</t>
        </is>
      </c>
      <c r="E306" s="3" t="inlineStr">
        <is>
          <t>test_a_step_named_for_a_person_is_not_a_queue</t>
        </is>
      </c>
      <c r="F306" s="3" t="inlineStr">
        <is>
          <t>whole class</t>
        </is>
      </c>
      <c r="G306" s="2" t="n">
        <v>5</v>
      </c>
      <c r="H306" s="2" t="n">
        <v>5</v>
      </c>
      <c r="I306" s="3" t="inlineStr">
        <is>
          <t>consilium/governance/tests/test_w3_guides.py</t>
        </is>
      </c>
    </row>
    <row r="307" ht="17" customHeight="1">
      <c r="A307" s="2" t="inlineStr">
        <is>
          <t>G-14</t>
        </is>
      </c>
      <c r="B307" s="3" t="inlineStr">
        <is>
          <t>CGF</t>
        </is>
      </c>
      <c r="C307" s="3" t="inlineStr">
        <is>
          <t>governance.tests.test_wave3_governance</t>
        </is>
      </c>
      <c r="D307" s="3" t="inlineStr">
        <is>
          <t>TestTemplatedNotices</t>
        </is>
      </c>
      <c r="E307" s="3" t="inlineStr">
        <is>
          <t>test_a_returned_request_is_told_through_its_template</t>
        </is>
      </c>
      <c r="F307" s="3" t="inlineStr">
        <is>
          <t>whole class</t>
        </is>
      </c>
      <c r="G307" s="2" t="n">
        <v>3</v>
      </c>
      <c r="H307" s="2" t="n">
        <v>3</v>
      </c>
      <c r="I307" s="3" t="inlineStr">
        <is>
          <t>consilium/governance/tests/test_wave3_governance.py</t>
        </is>
      </c>
    </row>
    <row r="308" ht="17" customHeight="1">
      <c r="A308" s="2" t="inlineStr">
        <is>
          <t>G-14</t>
        </is>
      </c>
      <c r="B308" s="3" t="inlineStr">
        <is>
          <t>CGF</t>
        </is>
      </c>
      <c r="C308" s="3" t="inlineStr">
        <is>
          <t>governance.tests.test_wave3_governance</t>
        </is>
      </c>
      <c r="D308" s="3" t="inlineStr">
        <is>
          <t>TestTemplatedNotices</t>
        </is>
      </c>
      <c r="E308" s="3" t="inlineStr">
        <is>
          <t>test_the_approver_is_told_their_step_through_its_template</t>
        </is>
      </c>
      <c r="F308" s="3" t="inlineStr">
        <is>
          <t>whole class</t>
        </is>
      </c>
      <c r="G308" s="2" t="n">
        <v>3</v>
      </c>
      <c r="H308" s="2" t="n">
        <v>3</v>
      </c>
      <c r="I308" s="3" t="inlineStr">
        <is>
          <t>consilium/governance/tests/test_wave3_governance.py</t>
        </is>
      </c>
    </row>
    <row r="309" ht="17" customHeight="1">
      <c r="A309" s="2" t="inlineStr">
        <is>
          <t>G-14</t>
        </is>
      </c>
      <c r="B309" s="3" t="inlineStr">
        <is>
          <t>CGF</t>
        </is>
      </c>
      <c r="C309" s="3" t="inlineStr">
        <is>
          <t>governance.tests.test_wave3_governance</t>
        </is>
      </c>
      <c r="D309" s="3" t="inlineStr">
        <is>
          <t>TestTemplatedNotices</t>
        </is>
      </c>
      <c r="E309" s="3" t="inlineStr">
        <is>
          <t>test_compliance_is_told_of_a_review_through_its_template</t>
        </is>
      </c>
      <c r="F309" s="3" t="inlineStr">
        <is>
          <t>whole class</t>
        </is>
      </c>
      <c r="G309" s="2" t="n">
        <v>3</v>
      </c>
      <c r="H309" s="2" t="n">
        <v>3</v>
      </c>
      <c r="I309" s="3" t="inlineStr">
        <is>
          <t>consilium/governance/tests/test_wave3_governance.py</t>
        </is>
      </c>
    </row>
    <row r="310" ht="30" customHeight="1">
      <c r="A310" s="2" t="inlineStr">
        <is>
          <t>G-14</t>
        </is>
      </c>
      <c r="B310" s="3" t="inlineStr">
        <is>
          <t>CGF</t>
        </is>
      </c>
      <c r="C310" s="3" t="inlineStr">
        <is>
          <t>consilium_core.tests.test_notification_templates</t>
        </is>
      </c>
      <c r="D310" s="3" t="inlineStr">
        <is>
          <t>TestSeeding</t>
        </is>
      </c>
      <c r="E310" s="3" t="inlineStr">
        <is>
          <t>test_every_event_the_application_raises_has_a_template</t>
        </is>
      </c>
      <c r="F310" s="3" t="inlineStr">
        <is>
          <t>whole class</t>
        </is>
      </c>
      <c r="G310" s="2" t="n">
        <v>2</v>
      </c>
      <c r="H310" s="2" t="n">
        <v>2</v>
      </c>
      <c r="I310" s="3" t="inlineStr">
        <is>
          <t>consilium/consilium_core/tests/test_notification_templates.py</t>
        </is>
      </c>
    </row>
    <row r="311" ht="30" customHeight="1">
      <c r="A311" s="2" t="inlineStr">
        <is>
          <t>G-14</t>
        </is>
      </c>
      <c r="B311" s="3" t="inlineStr">
        <is>
          <t>CGF</t>
        </is>
      </c>
      <c r="C311" s="3" t="inlineStr">
        <is>
          <t>consilium_core.tests.test_notification_templates</t>
        </is>
      </c>
      <c r="D311" s="3" t="inlineStr">
        <is>
          <t>TestSeeding</t>
        </is>
      </c>
      <c r="E311" s="3" t="inlineStr">
        <is>
          <t>test_seeding_twice_changes_nothing_and_keeps_an_administrators_wording</t>
        </is>
      </c>
      <c r="F311" s="3" t="inlineStr">
        <is>
          <t>whole class</t>
        </is>
      </c>
      <c r="G311" s="2" t="n">
        <v>2</v>
      </c>
      <c r="H311" s="2" t="n">
        <v>2</v>
      </c>
      <c r="I311" s="3" t="inlineStr">
        <is>
          <t>consilium/consilium_core/tests/test_notification_templates.py</t>
        </is>
      </c>
    </row>
    <row r="312" ht="30" customHeight="1">
      <c r="A312" s="2" t="inlineStr">
        <is>
          <t>G-14</t>
        </is>
      </c>
      <c r="B312" s="3" t="inlineStr">
        <is>
          <t>CGF</t>
        </is>
      </c>
      <c r="C312" s="3" t="inlineStr">
        <is>
          <t>consilium_core.tests.test_notification_templates</t>
        </is>
      </c>
      <c r="D312" s="3" t="inlineStr">
        <is>
          <t>TestEventApi</t>
        </is>
      </c>
      <c r="E312" s="3" t="inlineStr">
        <is>
          <t>test_a_template_is_rendered_against_the_context_and_the_record</t>
        </is>
      </c>
      <c r="F312" s="3" t="inlineStr">
        <is>
          <t>whole class</t>
        </is>
      </c>
      <c r="G312" s="2" t="n">
        <v>10</v>
      </c>
      <c r="H312" s="2" t="n">
        <v>10</v>
      </c>
      <c r="I312" s="3" t="inlineStr">
        <is>
          <t>consilium/consilium_core/tests/test_notification_templates.py</t>
        </is>
      </c>
    </row>
    <row r="313" ht="30" customHeight="1">
      <c r="A313" s="2" t="inlineStr">
        <is>
          <t>G-14</t>
        </is>
      </c>
      <c r="B313" s="3" t="inlineStr">
        <is>
          <t>CGF</t>
        </is>
      </c>
      <c r="C313" s="3" t="inlineStr">
        <is>
          <t>consilium_core.tests.test_notification_templates</t>
        </is>
      </c>
      <c r="D313" s="3" t="inlineStr">
        <is>
          <t>TestEventApi</t>
        </is>
      </c>
      <c r="E313" s="3" t="inlineStr">
        <is>
          <t>test_email_is_handed_to_the_framework_mail_queue</t>
        </is>
      </c>
      <c r="F313" s="3" t="inlineStr">
        <is>
          <t>whole class</t>
        </is>
      </c>
      <c r="G313" s="2" t="n">
        <v>10</v>
      </c>
      <c r="H313" s="2" t="n">
        <v>10</v>
      </c>
      <c r="I313" s="3" t="inlineStr">
        <is>
          <t>consilium/consilium_core/tests/test_notification_templates.py</t>
        </is>
      </c>
    </row>
    <row r="314" ht="30" customHeight="1">
      <c r="A314" s="2" t="inlineStr">
        <is>
          <t>G-14</t>
        </is>
      </c>
      <c r="B314" s="3" t="inlineStr">
        <is>
          <t>CGF</t>
        </is>
      </c>
      <c r="C314" s="3" t="inlineStr">
        <is>
          <t>consilium_core.tests.test_notification_templates</t>
        </is>
      </c>
      <c r="D314" s="3" t="inlineStr">
        <is>
          <t>TestEventApi</t>
        </is>
      </c>
      <c r="E314" s="3" t="inlineStr">
        <is>
          <t>test_one_event_can_go_to_two_channels</t>
        </is>
      </c>
      <c r="F314" s="3" t="inlineStr">
        <is>
          <t>whole class</t>
        </is>
      </c>
      <c r="G314" s="2" t="n">
        <v>10</v>
      </c>
      <c r="H314" s="2" t="n">
        <v>10</v>
      </c>
      <c r="I314" s="3" t="inlineStr">
        <is>
          <t>consilium/consilium_core/tests/test_notification_templates.py</t>
        </is>
      </c>
    </row>
    <row r="315" ht="30" customHeight="1">
      <c r="A315" s="2" t="inlineStr">
        <is>
          <t>G-14</t>
        </is>
      </c>
      <c r="B315" s="3" t="inlineStr">
        <is>
          <t>CGF</t>
        </is>
      </c>
      <c r="C315" s="3" t="inlineStr">
        <is>
          <t>consilium_core.tests.test_notification_templates</t>
        </is>
      </c>
      <c r="D315" s="3" t="inlineStr">
        <is>
          <t>TestEventApi</t>
        </is>
      </c>
      <c r="E315" s="3" t="inlineStr">
        <is>
          <t>test_without_outgoing_email_the_record_channel_is_used_and_nothing_fails</t>
        </is>
      </c>
      <c r="F315" s="3" t="inlineStr">
        <is>
          <t>whole class</t>
        </is>
      </c>
      <c r="G315" s="2" t="n">
        <v>10</v>
      </c>
      <c r="H315" s="2" t="n">
        <v>10</v>
      </c>
      <c r="I315" s="3" t="inlineStr">
        <is>
          <t>consilium/consilium_core/tests/test_notification_templates.py</t>
        </is>
      </c>
    </row>
    <row r="316" ht="30" customHeight="1">
      <c r="A316" s="2" t="inlineStr">
        <is>
          <t>G-14</t>
        </is>
      </c>
      <c r="B316" s="3" t="inlineStr">
        <is>
          <t>CGF</t>
        </is>
      </c>
      <c r="C316" s="3" t="inlineStr">
        <is>
          <t>consilium_core.tests.test_notification_templates</t>
        </is>
      </c>
      <c r="D316" s="3" t="inlineStr">
        <is>
          <t>TestEventApi</t>
        </is>
      </c>
      <c r="E316" s="3" t="inlineStr">
        <is>
          <t>test_a_person_who_turned_email_off_is_not_emailed_and_the_refusal_is_recorded</t>
        </is>
      </c>
      <c r="F316" s="3" t="inlineStr">
        <is>
          <t>whole class</t>
        </is>
      </c>
      <c r="G316" s="2" t="n">
        <v>10</v>
      </c>
      <c r="H316" s="2" t="n">
        <v>10</v>
      </c>
      <c r="I316" s="3" t="inlineStr">
        <is>
          <t>consilium/consilium_core/tests/test_notification_templates.py</t>
        </is>
      </c>
    </row>
    <row r="317" ht="30" customHeight="1">
      <c r="A317" s="2" t="inlineStr">
        <is>
          <t>G-14</t>
        </is>
      </c>
      <c r="B317" s="3" t="inlineStr">
        <is>
          <t>CGF</t>
        </is>
      </c>
      <c r="C317" s="3" t="inlineStr">
        <is>
          <t>consilium_core.tests.test_notification_templates</t>
        </is>
      </c>
      <c r="D317" s="3" t="inlineStr">
        <is>
          <t>TestEventApi</t>
        </is>
      </c>
      <c r="E317" s="3" t="inlineStr">
        <is>
          <t>test_a_disabled_account_is_not_emailed</t>
        </is>
      </c>
      <c r="F317" s="3" t="inlineStr">
        <is>
          <t>whole class</t>
        </is>
      </c>
      <c r="G317" s="2" t="n">
        <v>10</v>
      </c>
      <c r="H317" s="2" t="n">
        <v>10</v>
      </c>
      <c r="I317" s="3" t="inlineStr">
        <is>
          <t>consilium/consilium_core/tests/test_notification_templates.py</t>
        </is>
      </c>
    </row>
    <row r="318" ht="30" customHeight="1">
      <c r="A318" s="2" t="inlineStr">
        <is>
          <t>G-14</t>
        </is>
      </c>
      <c r="B318" s="3" t="inlineStr">
        <is>
          <t>CGF</t>
        </is>
      </c>
      <c r="C318" s="3" t="inlineStr">
        <is>
          <t>consilium_core.tests.test_notification_templates</t>
        </is>
      </c>
      <c r="D318" s="3" t="inlineStr">
        <is>
          <t>TestEventApi</t>
        </is>
      </c>
      <c r="E318" s="3" t="inlineStr">
        <is>
          <t>test_an_event_with_no_active_template_is_still_recorded</t>
        </is>
      </c>
      <c r="F318" s="3" t="inlineStr">
        <is>
          <t>whole class</t>
        </is>
      </c>
      <c r="G318" s="2" t="n">
        <v>10</v>
      </c>
      <c r="H318" s="2" t="n">
        <v>10</v>
      </c>
      <c r="I318" s="3" t="inlineStr">
        <is>
          <t>consilium/consilium_core/tests/test_notification_templates.py</t>
        </is>
      </c>
    </row>
    <row r="319" ht="30" customHeight="1">
      <c r="A319" s="2" t="inlineStr">
        <is>
          <t>G-14</t>
        </is>
      </c>
      <c r="B319" s="3" t="inlineStr">
        <is>
          <t>CGF</t>
        </is>
      </c>
      <c r="C319" s="3" t="inlineStr">
        <is>
          <t>consilium_core.tests.test_notification_templates</t>
        </is>
      </c>
      <c r="D319" s="3" t="inlineStr">
        <is>
          <t>TestEventApi</t>
        </is>
      </c>
      <c r="E319" s="3" t="inlineStr">
        <is>
          <t>test_a_known_event_without_templates_uses_its_built_in_wording</t>
        </is>
      </c>
      <c r="F319" s="3" t="inlineStr">
        <is>
          <t>whole class</t>
        </is>
      </c>
      <c r="G319" s="2" t="n">
        <v>10</v>
      </c>
      <c r="H319" s="2" t="n">
        <v>10</v>
      </c>
      <c r="I319" s="3" t="inlineStr">
        <is>
          <t>consilium/consilium_core/tests/test_notification_templates.py</t>
        </is>
      </c>
    </row>
    <row r="320" ht="30" customHeight="1">
      <c r="A320" s="2" t="inlineStr">
        <is>
          <t>G-14</t>
        </is>
      </c>
      <c r="B320" s="3" t="inlineStr">
        <is>
          <t>CGF</t>
        </is>
      </c>
      <c r="C320" s="3" t="inlineStr">
        <is>
          <t>consilium_core.tests.test_notification_templates</t>
        </is>
      </c>
      <c r="D320" s="3" t="inlineStr">
        <is>
          <t>TestEventApi</t>
        </is>
      </c>
      <c r="E320" s="3" t="inlineStr">
        <is>
          <t>test_people_who_are_not_users_are_dropped</t>
        </is>
      </c>
      <c r="F320" s="3" t="inlineStr">
        <is>
          <t>whole class</t>
        </is>
      </c>
      <c r="G320" s="2" t="n">
        <v>10</v>
      </c>
      <c r="H320" s="2" t="n">
        <v>10</v>
      </c>
      <c r="I320" s="3" t="inlineStr">
        <is>
          <t>consilium/consilium_core/tests/test_notification_templates.py</t>
        </is>
      </c>
    </row>
    <row r="321" ht="30" customHeight="1">
      <c r="A321" s="2" t="inlineStr">
        <is>
          <t>G-14</t>
        </is>
      </c>
      <c r="B321" s="3" t="inlineStr">
        <is>
          <t>CGF</t>
        </is>
      </c>
      <c r="C321" s="3" t="inlineStr">
        <is>
          <t>consilium_core.tests.test_notification_templates</t>
        </is>
      </c>
      <c r="D321" s="3" t="inlineStr">
        <is>
          <t>TestEventApi</t>
        </is>
      </c>
      <c r="E321" s="3" t="inlineStr">
        <is>
          <t>test_a_long_subject_is_shortened_rather_than_refused</t>
        </is>
      </c>
      <c r="F321" s="3" t="inlineStr">
        <is>
          <t>whole class</t>
        </is>
      </c>
      <c r="G321" s="2" t="n">
        <v>10</v>
      </c>
      <c r="H321" s="2" t="n">
        <v>10</v>
      </c>
      <c r="I321" s="3" t="inlineStr">
        <is>
          <t>consilium/consilium_core/tests/test_notification_templates.py</t>
        </is>
      </c>
    </row>
    <row r="322" ht="30" customHeight="1">
      <c r="A322" s="2" t="inlineStr">
        <is>
          <t>G-14</t>
        </is>
      </c>
      <c r="B322" s="3" t="inlineStr">
        <is>
          <t>CGF</t>
        </is>
      </c>
      <c r="C322" s="3" t="inlineStr">
        <is>
          <t>consilium_core.tests.test_notification_templates</t>
        </is>
      </c>
      <c r="D322" s="3" t="inlineStr">
        <is>
          <t>TestTemplateFailures</t>
        </is>
      </c>
      <c r="E322" s="3" t="inlineStr">
        <is>
          <t>test_a_template_that_does_not_parse_is_refused_when_saved</t>
        </is>
      </c>
      <c r="F322" s="3" t="inlineStr">
        <is>
          <t>whole class</t>
        </is>
      </c>
      <c r="G322" s="2" t="n">
        <v>5</v>
      </c>
      <c r="H322" s="2" t="n">
        <v>5</v>
      </c>
      <c r="I322" s="3" t="inlineStr">
        <is>
          <t>consilium/consilium_core/tests/test_notification_templates.py</t>
        </is>
      </c>
    </row>
    <row r="323" ht="30" customHeight="1">
      <c r="A323" s="2" t="inlineStr">
        <is>
          <t>G-14</t>
        </is>
      </c>
      <c r="B323" s="3" t="inlineStr">
        <is>
          <t>CGF</t>
        </is>
      </c>
      <c r="C323" s="3" t="inlineStr">
        <is>
          <t>consilium_core.tests.test_notification_templates</t>
        </is>
      </c>
      <c r="D323" s="3" t="inlineStr">
        <is>
          <t>TestTemplateFailures</t>
        </is>
      </c>
      <c r="E323" s="3" t="inlineStr">
        <is>
          <t>test_a_template_reaching_for_internals_is_refused</t>
        </is>
      </c>
      <c r="F323" s="3" t="inlineStr">
        <is>
          <t>whole class</t>
        </is>
      </c>
      <c r="G323" s="2" t="n">
        <v>5</v>
      </c>
      <c r="H323" s="2" t="n">
        <v>5</v>
      </c>
      <c r="I323" s="3" t="inlineStr">
        <is>
          <t>consilium/consilium_core/tests/test_notification_templates.py</t>
        </is>
      </c>
    </row>
    <row r="324" ht="30" customHeight="1">
      <c r="A324" s="2" t="inlineStr">
        <is>
          <t>G-14</t>
        </is>
      </c>
      <c r="B324" s="3" t="inlineStr">
        <is>
          <t>CGF</t>
        </is>
      </c>
      <c r="C324" s="3" t="inlineStr">
        <is>
          <t>consilium_core.tests.test_notification_templates</t>
        </is>
      </c>
      <c r="D324" s="3" t="inlineStr">
        <is>
          <t>TestTemplateFailures</t>
        </is>
      </c>
      <c r="E324" s="3" t="inlineStr">
        <is>
          <t>test_a_template_that_fails_to_render_falls_back_and_is_logged</t>
        </is>
      </c>
      <c r="F324" s="3" t="inlineStr">
        <is>
          <t>whole class</t>
        </is>
      </c>
      <c r="G324" s="2" t="n">
        <v>5</v>
      </c>
      <c r="H324" s="2" t="n">
        <v>5</v>
      </c>
      <c r="I324" s="3" t="inlineStr">
        <is>
          <t>consilium/consilium_core/tests/test_notification_templates.py</t>
        </is>
      </c>
    </row>
    <row r="325" ht="30" customHeight="1">
      <c r="A325" s="2" t="inlineStr">
        <is>
          <t>G-14</t>
        </is>
      </c>
      <c r="B325" s="3" t="inlineStr">
        <is>
          <t>CGF</t>
        </is>
      </c>
      <c r="C325" s="3" t="inlineStr">
        <is>
          <t>consilium_core.tests.test_notification_templates</t>
        </is>
      </c>
      <c r="D325" s="3" t="inlineStr">
        <is>
          <t>TestTemplateFailures</t>
        </is>
      </c>
      <c r="E325" s="3" t="inlineStr">
        <is>
          <t>test_a_broken_template_does_not_stop_the_next_recipient_or_event</t>
        </is>
      </c>
      <c r="F325" s="3" t="inlineStr">
        <is>
          <t>whole class</t>
        </is>
      </c>
      <c r="G325" s="2" t="n">
        <v>5</v>
      </c>
      <c r="H325" s="2" t="n">
        <v>5</v>
      </c>
      <c r="I325" s="3" t="inlineStr">
        <is>
          <t>consilium/consilium_core/tests/test_notification_templates.py</t>
        </is>
      </c>
    </row>
    <row r="326" ht="30" customHeight="1">
      <c r="A326" s="2" t="inlineStr">
        <is>
          <t>G-14</t>
        </is>
      </c>
      <c r="B326" s="3" t="inlineStr">
        <is>
          <t>CGF</t>
        </is>
      </c>
      <c r="C326" s="3" t="inlineStr">
        <is>
          <t>consilium_core.tests.test_notification_templates</t>
        </is>
      </c>
      <c r="D326" s="3" t="inlineStr">
        <is>
          <t>TestTemplateFailures</t>
        </is>
      </c>
      <c r="E326" s="3" t="inlineStr">
        <is>
          <t>test_a_dispatch_that_raises_does_not_stop_the_next_recipient</t>
        </is>
      </c>
      <c r="F326" s="3" t="inlineStr">
        <is>
          <t>whole class</t>
        </is>
      </c>
      <c r="G326" s="2" t="n">
        <v>5</v>
      </c>
      <c r="H326" s="2" t="n">
        <v>5</v>
      </c>
      <c r="I326" s="3" t="inlineStr">
        <is>
          <t>consilium/consilium_core/tests/test_notification_templates.py</t>
        </is>
      </c>
    </row>
    <row r="327" ht="30" customHeight="1">
      <c r="A327" s="2" t="inlineStr">
        <is>
          <t>G-14</t>
        </is>
      </c>
      <c r="B327" s="3" t="inlineStr">
        <is>
          <t>CGF</t>
        </is>
      </c>
      <c r="C327" s="3" t="inlineStr">
        <is>
          <t>consilium_core.tests.test_notification_templates</t>
        </is>
      </c>
      <c r="D327" s="3" t="inlineStr">
        <is>
          <t>TestEmailRetry</t>
        </is>
      </c>
      <c r="E327" s="3" t="inlineStr">
        <is>
          <t>test_a_message_the_mail_server_refused_is_sent_again</t>
        </is>
      </c>
      <c r="F327" s="3" t="inlineStr">
        <is>
          <t>whole class</t>
        </is>
      </c>
      <c r="G327" s="2" t="n">
        <v>3</v>
      </c>
      <c r="H327" s="2" t="n">
        <v>3</v>
      </c>
      <c r="I327" s="3" t="inlineStr">
        <is>
          <t>consilium/consilium_core/tests/test_notification_templates.py</t>
        </is>
      </c>
    </row>
    <row r="328" ht="30" customHeight="1">
      <c r="A328" s="2" t="inlineStr">
        <is>
          <t>G-14</t>
        </is>
      </c>
      <c r="B328" s="3" t="inlineStr">
        <is>
          <t>CGF</t>
        </is>
      </c>
      <c r="C328" s="3" t="inlineStr">
        <is>
          <t>consilium_core.tests.test_notification_templates</t>
        </is>
      </c>
      <c r="D328" s="3" t="inlineStr">
        <is>
          <t>TestEmailRetry</t>
        </is>
      </c>
      <c r="E328" s="3" t="inlineStr">
        <is>
          <t>test_queueing_that_fails_is_retried_by_the_hourly_job</t>
        </is>
      </c>
      <c r="F328" s="3" t="inlineStr">
        <is>
          <t>whole class</t>
        </is>
      </c>
      <c r="G328" s="2" t="n">
        <v>3</v>
      </c>
      <c r="H328" s="2" t="n">
        <v>3</v>
      </c>
      <c r="I328" s="3" t="inlineStr">
        <is>
          <t>consilium/consilium_core/tests/test_notification_templates.py</t>
        </is>
      </c>
    </row>
    <row r="329" ht="30" customHeight="1">
      <c r="A329" s="2" t="inlineStr">
        <is>
          <t>G-14</t>
        </is>
      </c>
      <c r="B329" s="3" t="inlineStr">
        <is>
          <t>CGF</t>
        </is>
      </c>
      <c r="C329" s="3" t="inlineStr">
        <is>
          <t>consilium_core.tests.test_notification_templates</t>
        </is>
      </c>
      <c r="D329" s="3" t="inlineStr">
        <is>
          <t>TestEmailRetry</t>
        </is>
      </c>
      <c r="E329" s="3" t="inlineStr">
        <is>
          <t>test_retries_stop_after_the_limit</t>
        </is>
      </c>
      <c r="F329" s="3" t="inlineStr">
        <is>
          <t>whole class</t>
        </is>
      </c>
      <c r="G329" s="2" t="n">
        <v>3</v>
      </c>
      <c r="H329" s="2" t="n">
        <v>3</v>
      </c>
      <c r="I329" s="3" t="inlineStr">
        <is>
          <t>consilium/consilium_core/tests/test_notification_templates.py</t>
        </is>
      </c>
    </row>
    <row r="330" ht="17" customHeight="1">
      <c r="A330" s="2" t="inlineStr">
        <is>
          <t>G-14</t>
        </is>
      </c>
      <c r="B330" s="3" t="inlineStr">
        <is>
          <t>CGF</t>
        </is>
      </c>
      <c r="C330" s="3" t="inlineStr">
        <is>
          <t>consilium_core.tests.test_notification</t>
        </is>
      </c>
      <c r="D330" s="3" t="inlineStr">
        <is>
          <t>TestNotification</t>
        </is>
      </c>
      <c r="E330" s="3" t="inlineStr">
        <is>
          <t>test_a_successful_send_is_recorded_as_evidence</t>
        </is>
      </c>
      <c r="F330" s="3" t="inlineStr">
        <is>
          <t>whole class</t>
        </is>
      </c>
      <c r="G330" s="2" t="n">
        <v>6</v>
      </c>
      <c r="H330" s="2" t="n">
        <v>6</v>
      </c>
      <c r="I330" s="3" t="inlineStr">
        <is>
          <t>consilium/consilium_core/tests/test_notification.py</t>
        </is>
      </c>
    </row>
    <row r="331" ht="17" customHeight="1">
      <c r="A331" s="2" t="inlineStr">
        <is>
          <t>G-14</t>
        </is>
      </c>
      <c r="B331" s="3" t="inlineStr">
        <is>
          <t>CGF</t>
        </is>
      </c>
      <c r="C331" s="3" t="inlineStr">
        <is>
          <t>consilium_core.tests.test_notification</t>
        </is>
      </c>
      <c r="D331" s="3" t="inlineStr">
        <is>
          <t>TestNotification</t>
        </is>
      </c>
      <c r="E331" s="3" t="inlineStr">
        <is>
          <t>test_a_failure_is_recorded_and_falls_back</t>
        </is>
      </c>
      <c r="F331" s="3" t="inlineStr">
        <is>
          <t>whole class</t>
        </is>
      </c>
      <c r="G331" s="2" t="n">
        <v>6</v>
      </c>
      <c r="H331" s="2" t="n">
        <v>6</v>
      </c>
      <c r="I331" s="3" t="inlineStr">
        <is>
          <t>consilium/consilium_core/tests/test_notification.py</t>
        </is>
      </c>
    </row>
    <row r="332" ht="17" customHeight="1">
      <c r="A332" s="2" t="inlineStr">
        <is>
          <t>G-14</t>
        </is>
      </c>
      <c r="B332" s="3" t="inlineStr">
        <is>
          <t>CGF</t>
        </is>
      </c>
      <c r="C332" s="3" t="inlineStr">
        <is>
          <t>consilium_core.tests.test_notification</t>
        </is>
      </c>
      <c r="D332" s="3" t="inlineStr">
        <is>
          <t>TestNotification</t>
        </is>
      </c>
      <c r="E332" s="3" t="inlineStr">
        <is>
          <t>test_a_failure_without_a_fallback_stays_failed</t>
        </is>
      </c>
      <c r="F332" s="3" t="inlineStr">
        <is>
          <t>whole class</t>
        </is>
      </c>
      <c r="G332" s="2" t="n">
        <v>6</v>
      </c>
      <c r="H332" s="2" t="n">
        <v>6</v>
      </c>
      <c r="I332" s="3" t="inlineStr">
        <is>
          <t>consilium/consilium_core/tests/test_notification.py</t>
        </is>
      </c>
    </row>
    <row r="333" ht="17" customHeight="1">
      <c r="A333" s="2" t="inlineStr">
        <is>
          <t>G-14</t>
        </is>
      </c>
      <c r="B333" s="3" t="inlineStr">
        <is>
          <t>CGF</t>
        </is>
      </c>
      <c r="C333" s="3" t="inlineStr">
        <is>
          <t>consilium_core.tests.test_notification</t>
        </is>
      </c>
      <c r="D333" s="3" t="inlineStr">
        <is>
          <t>TestNotification</t>
        </is>
      </c>
      <c r="E333" s="3" t="inlineStr">
        <is>
          <t>test_an_inactive_channel_suppresses_rather_than_pretends</t>
        </is>
      </c>
      <c r="F333" s="3" t="inlineStr">
        <is>
          <t>whole class</t>
        </is>
      </c>
      <c r="G333" s="2" t="n">
        <v>6</v>
      </c>
      <c r="H333" s="2" t="n">
        <v>6</v>
      </c>
      <c r="I333" s="3" t="inlineStr">
        <is>
          <t>consilium/consilium_core/tests/test_notification.py</t>
        </is>
      </c>
    </row>
    <row r="334" ht="17" customHeight="1">
      <c r="A334" s="2" t="inlineStr">
        <is>
          <t>G-14</t>
        </is>
      </c>
      <c r="B334" s="3" t="inlineStr">
        <is>
          <t>CGF</t>
        </is>
      </c>
      <c r="C334" s="3" t="inlineStr">
        <is>
          <t>consilium_core.tests.test_notification</t>
        </is>
      </c>
      <c r="D334" s="3" t="inlineStr">
        <is>
          <t>TestNotification</t>
        </is>
      </c>
      <c r="E334" s="3" t="inlineStr">
        <is>
          <t>test_an_unknown_adapter_is_refused_at_configuration_time</t>
        </is>
      </c>
      <c r="F334" s="3" t="inlineStr">
        <is>
          <t>whole class</t>
        </is>
      </c>
      <c r="G334" s="2" t="n">
        <v>6</v>
      </c>
      <c r="H334" s="2" t="n">
        <v>6</v>
      </c>
      <c r="I334" s="3" t="inlineStr">
        <is>
          <t>consilium/consilium_core/tests/test_notification.py</t>
        </is>
      </c>
    </row>
    <row r="335" ht="17" customHeight="1">
      <c r="A335" s="2" t="inlineStr">
        <is>
          <t>G-14</t>
        </is>
      </c>
      <c r="B335" s="3" t="inlineStr">
        <is>
          <t>CGF</t>
        </is>
      </c>
      <c r="C335" s="3" t="inlineStr">
        <is>
          <t>consilium_core.tests.test_notification</t>
        </is>
      </c>
      <c r="D335" s="3" t="inlineStr">
        <is>
          <t>TestNotification</t>
        </is>
      </c>
      <c r="E335" s="3" t="inlineStr">
        <is>
          <t>test_a_fallback_cycle_is_refused</t>
        </is>
      </c>
      <c r="F335" s="3" t="inlineStr">
        <is>
          <t>whole class</t>
        </is>
      </c>
      <c r="G335" s="2" t="n">
        <v>6</v>
      </c>
      <c r="H335" s="2" t="n">
        <v>6</v>
      </c>
      <c r="I335" s="3" t="inlineStr">
        <is>
          <t>consilium/consilium_core/tests/test_notification.py</t>
        </is>
      </c>
    </row>
    <row r="336" ht="17" customHeight="1">
      <c r="A336" s="2" t="inlineStr">
        <is>
          <t>G-14</t>
        </is>
      </c>
      <c r="B336" s="3" t="inlineStr">
        <is>
          <t>CGF</t>
        </is>
      </c>
      <c r="C336" s="3" t="inlineStr">
        <is>
          <t>governance.tests.test_formation</t>
        </is>
      </c>
      <c r="D336" s="3" t="inlineStr">
        <is>
          <t>TestReturnToOriginator</t>
        </is>
      </c>
      <c r="E336" s="3" t="inlineStr">
        <is>
          <t>test_the_originator_is_notified</t>
        </is>
      </c>
      <c r="F336" s="3" t="inlineStr">
        <is>
          <t>named method</t>
        </is>
      </c>
      <c r="G336" s="2" t="n"/>
      <c r="H336" s="2" t="n">
        <v>1</v>
      </c>
      <c r="I336" s="3" t="inlineStr">
        <is>
          <t>consilium/governance/tests/test_formation.py</t>
        </is>
      </c>
    </row>
    <row r="337" ht="17" customHeight="1">
      <c r="A337" s="2" t="inlineStr">
        <is>
          <t>G-14</t>
        </is>
      </c>
      <c r="B337" s="3" t="inlineStr">
        <is>
          <t>CGF</t>
        </is>
      </c>
      <c r="C337" s="3" t="inlineStr">
        <is>
          <t>governance.tests.test_lifecycle</t>
        </is>
      </c>
      <c r="D337" s="3" t="inlineStr">
        <is>
          <t>TestWatchedFields</t>
        </is>
      </c>
      <c r="E337" s="3" t="inlineStr">
        <is>
          <t>test_compliance_is_notified_and_a_task_is_raised</t>
        </is>
      </c>
      <c r="F337" s="3" t="inlineStr">
        <is>
          <t>named method</t>
        </is>
      </c>
      <c r="G337" s="2" t="n"/>
      <c r="H337" s="2" t="n">
        <v>1</v>
      </c>
      <c r="I337" s="3" t="inlineStr">
        <is>
          <t>consilium/governance/tests/test_lifecycle.py</t>
        </is>
      </c>
    </row>
    <row r="338" ht="17" customHeight="1">
      <c r="A338" s="2" t="inlineStr">
        <is>
          <t>G-14</t>
        </is>
      </c>
      <c r="B338" s="3" t="inlineStr">
        <is>
          <t>CGF</t>
        </is>
      </c>
      <c r="C338" s="3" t="inlineStr">
        <is>
          <t>governance.tests.test_governance_gaps</t>
        </is>
      </c>
      <c r="D338" s="3" t="inlineStr">
        <is>
          <t>TestDisbandmentPortal</t>
        </is>
      </c>
      <c r="E338" s="3" t="inlineStr">
        <is>
          <t>test_raising_names_g11s_approvers_and_asks_them</t>
        </is>
      </c>
      <c r="F338" s="3" t="inlineStr">
        <is>
          <t>named method</t>
        </is>
      </c>
      <c r="G338" s="2" t="n"/>
      <c r="H338" s="2" t="n">
        <v>1</v>
      </c>
      <c r="I338" s="3" t="inlineStr">
        <is>
          <t>consilium/governance/tests/test_governance_gaps.py</t>
        </is>
      </c>
    </row>
    <row r="339" ht="17" customHeight="1">
      <c r="A339" s="2" t="inlineStr">
        <is>
          <t>G-15</t>
        </is>
      </c>
      <c r="B339" s="3" t="inlineStr">
        <is>
          <t>CGF</t>
        </is>
      </c>
      <c r="C339" s="3" t="inlineStr">
        <is>
          <t>governance.tests.test_governance_gaps</t>
        </is>
      </c>
      <c r="D339" s="3" t="inlineStr">
        <is>
          <t>TestCharterPortal</t>
        </is>
      </c>
      <c r="E339" s="3" t="inlineStr">
        <is>
          <t>test_the_context_says_who_may_do_what</t>
        </is>
      </c>
      <c r="F339" s="3" t="inlineStr">
        <is>
          <t>whole class</t>
        </is>
      </c>
      <c r="G339" s="2" t="n">
        <v>9</v>
      </c>
      <c r="H339" s="2" t="n">
        <v>9</v>
      </c>
      <c r="I339" s="3" t="inlineStr">
        <is>
          <t>consilium/governance/tests/test_governance_gaps.py</t>
        </is>
      </c>
    </row>
    <row r="340" ht="30" customHeight="1">
      <c r="A340" s="2" t="inlineStr">
        <is>
          <t>G-15</t>
        </is>
      </c>
      <c r="B340" s="3" t="inlineStr">
        <is>
          <t>CGF</t>
        </is>
      </c>
      <c r="C340" s="3" t="inlineStr">
        <is>
          <t>governance.tests.test_governance_gaps</t>
        </is>
      </c>
      <c r="D340" s="3" t="inlineStr">
        <is>
          <t>TestCharterPortal</t>
        </is>
      </c>
      <c r="E340" s="3" t="inlineStr">
        <is>
          <t>test_a_secretary_publishes_a_version_and_the_challenge_reopens</t>
        </is>
      </c>
      <c r="F340" s="3" t="inlineStr">
        <is>
          <t>whole class</t>
        </is>
      </c>
      <c r="G340" s="2" t="n">
        <v>9</v>
      </c>
      <c r="H340" s="2" t="n">
        <v>9</v>
      </c>
      <c r="I340" s="3" t="inlineStr">
        <is>
          <t>consilium/governance/tests/test_governance_gaps.py</t>
        </is>
      </c>
    </row>
    <row r="341" ht="17" customHeight="1">
      <c r="A341" s="2" t="inlineStr">
        <is>
          <t>G-15</t>
        </is>
      </c>
      <c r="B341" s="3" t="inlineStr">
        <is>
          <t>CGF</t>
        </is>
      </c>
      <c r="C341" s="3" t="inlineStr">
        <is>
          <t>governance.tests.test_governance_gaps</t>
        </is>
      </c>
      <c r="D341" s="3" t="inlineStr">
        <is>
          <t>TestCharterPortal</t>
        </is>
      </c>
      <c r="E341" s="3" t="inlineStr">
        <is>
          <t>test_a_version_needs_a_summary_and_a_body</t>
        </is>
      </c>
      <c r="F341" s="3" t="inlineStr">
        <is>
          <t>whole class</t>
        </is>
      </c>
      <c r="G341" s="2" t="n">
        <v>9</v>
      </c>
      <c r="H341" s="2" t="n">
        <v>9</v>
      </c>
      <c r="I341" s="3" t="inlineStr">
        <is>
          <t>consilium/governance/tests/test_governance_gaps.py</t>
        </is>
      </c>
    </row>
    <row r="342" ht="17" customHeight="1">
      <c r="A342" s="2" t="inlineStr">
        <is>
          <t>G-15</t>
        </is>
      </c>
      <c r="B342" s="3" t="inlineStr">
        <is>
          <t>CGF</t>
        </is>
      </c>
      <c r="C342" s="3" t="inlineStr">
        <is>
          <t>governance.tests.test_governance_gaps</t>
        </is>
      </c>
      <c r="D342" s="3" t="inlineStr">
        <is>
          <t>TestCharterPortal</t>
        </is>
      </c>
      <c r="E342" s="3" t="inlineStr">
        <is>
          <t>test_only_a_file_attached_to_this_charter_is_accepted</t>
        </is>
      </c>
      <c r="F342" s="3" t="inlineStr">
        <is>
          <t>whole class</t>
        </is>
      </c>
      <c r="G342" s="2" t="n">
        <v>9</v>
      </c>
      <c r="H342" s="2" t="n">
        <v>9</v>
      </c>
      <c r="I342" s="3" t="inlineStr">
        <is>
          <t>consilium/governance/tests/test_governance_gaps.py</t>
        </is>
      </c>
    </row>
    <row r="343" ht="17" customHeight="1">
      <c r="A343" s="2" t="inlineStr">
        <is>
          <t>G-15</t>
        </is>
      </c>
      <c r="B343" s="3" t="inlineStr">
        <is>
          <t>CGF</t>
        </is>
      </c>
      <c r="C343" s="3" t="inlineStr">
        <is>
          <t>governance.tests.test_governance_gaps</t>
        </is>
      </c>
      <c r="D343" s="3" t="inlineStr">
        <is>
          <t>TestCharterPortal</t>
        </is>
      </c>
      <c r="E343" s="3" t="inlineStr">
        <is>
          <t>test_a_reader_may_not_publish_and_is_audited</t>
        </is>
      </c>
      <c r="F343" s="3" t="inlineStr">
        <is>
          <t>whole class</t>
        </is>
      </c>
      <c r="G343" s="2" t="n">
        <v>9</v>
      </c>
      <c r="H343" s="2" t="n">
        <v>9</v>
      </c>
      <c r="I343" s="3" t="inlineStr">
        <is>
          <t>consilium/governance/tests/test_governance_gaps.py</t>
        </is>
      </c>
    </row>
    <row r="344" ht="17" customHeight="1">
      <c r="A344" s="2" t="inlineStr">
        <is>
          <t>G-15</t>
        </is>
      </c>
      <c r="B344" s="3" t="inlineStr">
        <is>
          <t>CGF</t>
        </is>
      </c>
      <c r="C344" s="3" t="inlineStr">
        <is>
          <t>governance.tests.test_governance_gaps</t>
        </is>
      </c>
      <c r="D344" s="3" t="inlineStr">
        <is>
          <t>TestCharterPortal</t>
        </is>
      </c>
      <c r="E344" s="3" t="inlineStr">
        <is>
          <t>test_the_challenge_belongs_to_the_governance_office</t>
        </is>
      </c>
      <c r="F344" s="3" t="inlineStr">
        <is>
          <t>whole class</t>
        </is>
      </c>
      <c r="G344" s="2" t="n">
        <v>9</v>
      </c>
      <c r="H344" s="2" t="n">
        <v>9</v>
      </c>
      <c r="I344" s="3" t="inlineStr">
        <is>
          <t>consilium/governance/tests/test_governance_gaps.py</t>
        </is>
      </c>
    </row>
    <row r="345" ht="17" customHeight="1">
      <c r="A345" s="2" t="inlineStr">
        <is>
          <t>G-15</t>
        </is>
      </c>
      <c r="B345" s="3" t="inlineStr">
        <is>
          <t>CGF</t>
        </is>
      </c>
      <c r="C345" s="3" t="inlineStr">
        <is>
          <t>governance.tests.test_governance_gaps</t>
        </is>
      </c>
      <c r="D345" s="3" t="inlineStr">
        <is>
          <t>TestCharterPortal</t>
        </is>
      </c>
      <c r="E345" s="3" t="inlineStr">
        <is>
          <t>test_nothing_to_challenge_without_a_version</t>
        </is>
      </c>
      <c r="F345" s="3" t="inlineStr">
        <is>
          <t>whole class</t>
        </is>
      </c>
      <c r="G345" s="2" t="n">
        <v>9</v>
      </c>
      <c r="H345" s="2" t="n">
        <v>9</v>
      </c>
      <c r="I345" s="3" t="inlineStr">
        <is>
          <t>consilium/governance/tests/test_governance_gaps.py</t>
        </is>
      </c>
    </row>
    <row r="346" ht="17" customHeight="1">
      <c r="A346" s="2" t="inlineStr">
        <is>
          <t>G-15</t>
        </is>
      </c>
      <c r="B346" s="3" t="inlineStr">
        <is>
          <t>CGF</t>
        </is>
      </c>
      <c r="C346" s="3" t="inlineStr">
        <is>
          <t>governance.tests.test_governance_gaps</t>
        </is>
      </c>
      <c r="D346" s="3" t="inlineStr">
        <is>
          <t>TestCharterPortal</t>
        </is>
      </c>
      <c r="E346" s="3" t="inlineStr">
        <is>
          <t>test_starting_a_charter</t>
        </is>
      </c>
      <c r="F346" s="3" t="inlineStr">
        <is>
          <t>whole class</t>
        </is>
      </c>
      <c r="G346" s="2" t="n">
        <v>9</v>
      </c>
      <c r="H346" s="2" t="n">
        <v>9</v>
      </c>
      <c r="I346" s="3" t="inlineStr">
        <is>
          <t>consilium/governance/tests/test_governance_gaps.py</t>
        </is>
      </c>
    </row>
    <row r="347" ht="17" customHeight="1">
      <c r="A347" s="2" t="inlineStr">
        <is>
          <t>G-15</t>
        </is>
      </c>
      <c r="B347" s="3" t="inlineStr">
        <is>
          <t>CGF</t>
        </is>
      </c>
      <c r="C347" s="3" t="inlineStr">
        <is>
          <t>governance.tests.test_governance_gaps</t>
        </is>
      </c>
      <c r="D347" s="3" t="inlineStr">
        <is>
          <t>TestCharterPortal</t>
        </is>
      </c>
      <c r="E347" s="3" t="inlineStr">
        <is>
          <t>test_a_disbanded_forums_charter_is_not_revised</t>
        </is>
      </c>
      <c r="F347" s="3" t="inlineStr">
        <is>
          <t>whole class</t>
        </is>
      </c>
      <c r="G347" s="2" t="n">
        <v>9</v>
      </c>
      <c r="H347" s="2" t="n">
        <v>9</v>
      </c>
      <c r="I347" s="3" t="inlineStr">
        <is>
          <t>consilium/governance/tests/test_governance_gaps.py</t>
        </is>
      </c>
    </row>
    <row r="348" ht="17" customHeight="1">
      <c r="A348" s="2" t="inlineStr">
        <is>
          <t>G-15</t>
        </is>
      </c>
      <c r="B348" s="3" t="inlineStr">
        <is>
          <t>CGF</t>
        </is>
      </c>
      <c r="C348" s="3" t="inlineStr">
        <is>
          <t>governance.tests.test_charters</t>
        </is>
      </c>
      <c r="D348" s="3" t="inlineStr">
        <is>
          <t>TestCharterVersions</t>
        </is>
      </c>
      <c r="E348" s="3" t="inlineStr">
        <is>
          <t>test_the_body_lives_in_the_version_chain</t>
        </is>
      </c>
      <c r="F348" s="3" t="inlineStr">
        <is>
          <t>whole class</t>
        </is>
      </c>
      <c r="G348" s="2" t="n">
        <v>2</v>
      </c>
      <c r="H348" s="2" t="n">
        <v>2</v>
      </c>
      <c r="I348" s="3" t="inlineStr">
        <is>
          <t>consilium/governance/tests/test_charters.py</t>
        </is>
      </c>
    </row>
    <row r="349" ht="17" customHeight="1">
      <c r="A349" s="2" t="inlineStr">
        <is>
          <t>G-15</t>
        </is>
      </c>
      <c r="B349" s="3" t="inlineStr">
        <is>
          <t>CGF</t>
        </is>
      </c>
      <c r="C349" s="3" t="inlineStr">
        <is>
          <t>governance.tests.test_charters</t>
        </is>
      </c>
      <c r="D349" s="3" t="inlineStr">
        <is>
          <t>TestCharterVersions</t>
        </is>
      </c>
      <c r="E349" s="3" t="inlineStr">
        <is>
          <t>test_a_version_needs_a_change_summary</t>
        </is>
      </c>
      <c r="F349" s="3" t="inlineStr">
        <is>
          <t>whole class</t>
        </is>
      </c>
      <c r="G349" s="2" t="n">
        <v>2</v>
      </c>
      <c r="H349" s="2" t="n">
        <v>2</v>
      </c>
      <c r="I349" s="3" t="inlineStr">
        <is>
          <t>consilium/governance/tests/test_charters.py</t>
        </is>
      </c>
    </row>
    <row r="350" ht="30" customHeight="1">
      <c r="A350" s="2" t="inlineStr">
        <is>
          <t>G-15</t>
        </is>
      </c>
      <c r="B350" s="3" t="inlineStr">
        <is>
          <t>CGF</t>
        </is>
      </c>
      <c r="C350" s="3" t="inlineStr">
        <is>
          <t>governance.tests.test_regressions</t>
        </is>
      </c>
      <c r="D350" s="3" t="inlineStr">
        <is>
          <t>TestMinutes</t>
        </is>
      </c>
      <c r="E350" s="3" t="inlineStr">
        <is>
          <t>test_minutes_are_recorded_as_a_version_the_meeting_points_at</t>
        </is>
      </c>
      <c r="F350" s="3" t="inlineStr">
        <is>
          <t>whole class</t>
        </is>
      </c>
      <c r="G350" s="2" t="n">
        <v>3</v>
      </c>
      <c r="H350" s="2" t="n">
        <v>3</v>
      </c>
      <c r="I350" s="3" t="inlineStr">
        <is>
          <t>consilium/governance/tests/test_regressions.py</t>
        </is>
      </c>
    </row>
    <row r="351" ht="17" customHeight="1">
      <c r="A351" s="2" t="inlineStr">
        <is>
          <t>G-15</t>
        </is>
      </c>
      <c r="B351" s="3" t="inlineStr">
        <is>
          <t>CGF</t>
        </is>
      </c>
      <c r="C351" s="3" t="inlineStr">
        <is>
          <t>governance.tests.test_regressions</t>
        </is>
      </c>
      <c r="D351" s="3" t="inlineStr">
        <is>
          <t>TestMinutes</t>
        </is>
      </c>
      <c r="E351" s="3" t="inlineStr">
        <is>
          <t>test_empty_minutes_are_refused</t>
        </is>
      </c>
      <c r="F351" s="3" t="inlineStr">
        <is>
          <t>whole class</t>
        </is>
      </c>
      <c r="G351" s="2" t="n">
        <v>3</v>
      </c>
      <c r="H351" s="2" t="n">
        <v>3</v>
      </c>
      <c r="I351" s="3" t="inlineStr">
        <is>
          <t>consilium/governance/tests/test_regressions.py</t>
        </is>
      </c>
    </row>
    <row r="352" ht="17" customHeight="1">
      <c r="A352" s="2" t="inlineStr">
        <is>
          <t>G-15</t>
        </is>
      </c>
      <c r="B352" s="3" t="inlineStr">
        <is>
          <t>CGF</t>
        </is>
      </c>
      <c r="C352" s="3" t="inlineStr">
        <is>
          <t>governance.tests.test_regressions</t>
        </is>
      </c>
      <c r="D352" s="3" t="inlineStr">
        <is>
          <t>TestMinutes</t>
        </is>
      </c>
      <c r="E352" s="3" t="inlineStr">
        <is>
          <t>test_someone_who_cannot_edit_the_meeting_cannot_minute_it</t>
        </is>
      </c>
      <c r="F352" s="3" t="inlineStr">
        <is>
          <t>whole class</t>
        </is>
      </c>
      <c r="G352" s="2" t="n">
        <v>3</v>
      </c>
      <c r="H352" s="2" t="n">
        <v>3</v>
      </c>
      <c r="I352" s="3" t="inlineStr">
        <is>
          <t>consilium/governance/tests/test_regressions.py</t>
        </is>
      </c>
    </row>
    <row r="353" ht="17" customHeight="1">
      <c r="A353" s="2" t="inlineStr">
        <is>
          <t>G-16</t>
        </is>
      </c>
      <c r="B353" s="3" t="inlineStr">
        <is>
          <t>CGF</t>
        </is>
      </c>
      <c r="C353" s="3" t="inlineStr">
        <is>
          <t>consilium_core.tests.test_retention</t>
        </is>
      </c>
      <c r="D353" s="3" t="inlineStr">
        <is>
          <t>TestRetention</t>
        </is>
      </c>
      <c r="E353" s="3" t="inlineStr">
        <is>
          <t>test_a_retained_record_cannot_be_modified</t>
        </is>
      </c>
      <c r="F353" s="3" t="inlineStr">
        <is>
          <t>whole class</t>
        </is>
      </c>
      <c r="G353" s="2" t="n">
        <v>14</v>
      </c>
      <c r="H353" s="2" t="n">
        <v>14</v>
      </c>
      <c r="I353" s="3" t="inlineStr">
        <is>
          <t>consilium/consilium_core/tests/test_retention.py</t>
        </is>
      </c>
    </row>
    <row r="354" ht="17" customHeight="1">
      <c r="A354" s="2" t="inlineStr">
        <is>
          <t>G-16</t>
        </is>
      </c>
      <c r="B354" s="3" t="inlineStr">
        <is>
          <t>CGF</t>
        </is>
      </c>
      <c r="C354" s="3" t="inlineStr">
        <is>
          <t>consilium_core.tests.test_retention</t>
        </is>
      </c>
      <c r="D354" s="3" t="inlineStr">
        <is>
          <t>TestRetention</t>
        </is>
      </c>
      <c r="E354" s="3" t="inlineStr">
        <is>
          <t>test_a_retained_record_cannot_be_deleted</t>
        </is>
      </c>
      <c r="F354" s="3" t="inlineStr">
        <is>
          <t>whole class</t>
        </is>
      </c>
      <c r="G354" s="2" t="n">
        <v>14</v>
      </c>
      <c r="H354" s="2" t="n">
        <v>14</v>
      </c>
      <c r="I354" s="3" t="inlineStr">
        <is>
          <t>consilium/consilium_core/tests/test_retention.py</t>
        </is>
      </c>
    </row>
    <row r="355" ht="17" customHeight="1">
      <c r="A355" s="2" t="inlineStr">
        <is>
          <t>G-16</t>
        </is>
      </c>
      <c r="B355" s="3" t="inlineStr">
        <is>
          <t>CGF</t>
        </is>
      </c>
      <c r="C355" s="3" t="inlineStr">
        <is>
          <t>consilium_core.tests.test_retention</t>
        </is>
      </c>
      <c r="D355" s="3" t="inlineStr">
        <is>
          <t>TestRetention</t>
        </is>
      </c>
      <c r="E355" s="3" t="inlineStr">
        <is>
          <t>test_a_record_outside_the_assignment_is_untouched</t>
        </is>
      </c>
      <c r="F355" s="3" t="inlineStr">
        <is>
          <t>whole class</t>
        </is>
      </c>
      <c r="G355" s="2" t="n">
        <v>14</v>
      </c>
      <c r="H355" s="2" t="n">
        <v>14</v>
      </c>
      <c r="I355" s="3" t="inlineStr">
        <is>
          <t>consilium/consilium_core/tests/test_retention.py</t>
        </is>
      </c>
    </row>
    <row r="356" ht="17" customHeight="1">
      <c r="A356" s="2" t="inlineStr">
        <is>
          <t>G-16</t>
        </is>
      </c>
      <c r="B356" s="3" t="inlineStr">
        <is>
          <t>CGF</t>
        </is>
      </c>
      <c r="C356" s="3" t="inlineStr">
        <is>
          <t>consilium_core.tests.test_retention</t>
        </is>
      </c>
      <c r="D356" s="3" t="inlineStr">
        <is>
          <t>TestRetention</t>
        </is>
      </c>
      <c r="E356" s="3" t="inlineStr">
        <is>
          <t>test_a_class_without_worm_does_not_freeze_the_record</t>
        </is>
      </c>
      <c r="F356" s="3" t="inlineStr">
        <is>
          <t>whole class</t>
        </is>
      </c>
      <c r="G356" s="2" t="n">
        <v>14</v>
      </c>
      <c r="H356" s="2" t="n">
        <v>14</v>
      </c>
      <c r="I356" s="3" t="inlineStr">
        <is>
          <t>consilium/consilium_core/tests/test_retention.py</t>
        </is>
      </c>
    </row>
    <row r="357" ht="17" customHeight="1">
      <c r="A357" s="2" t="inlineStr">
        <is>
          <t>G-16</t>
        </is>
      </c>
      <c r="B357" s="3" t="inlineStr">
        <is>
          <t>CGF</t>
        </is>
      </c>
      <c r="C357" s="3" t="inlineStr">
        <is>
          <t>consilium_core.tests.test_retention</t>
        </is>
      </c>
      <c r="D357" s="3" t="inlineStr">
        <is>
          <t>TestRetention</t>
        </is>
      </c>
      <c r="E357" s="3" t="inlineStr">
        <is>
          <t>test_the_most_specific_assignment_wins</t>
        </is>
      </c>
      <c r="F357" s="3" t="inlineStr">
        <is>
          <t>whole class</t>
        </is>
      </c>
      <c r="G357" s="2" t="n">
        <v>14</v>
      </c>
      <c r="H357" s="2" t="n">
        <v>14</v>
      </c>
      <c r="I357" s="3" t="inlineStr">
        <is>
          <t>consilium/consilium_core/tests/test_retention.py</t>
        </is>
      </c>
    </row>
    <row r="358" ht="30" customHeight="1">
      <c r="A358" s="2" t="inlineStr">
        <is>
          <t>G-16</t>
        </is>
      </c>
      <c r="B358" s="3" t="inlineStr">
        <is>
          <t>CGF</t>
        </is>
      </c>
      <c r="C358" s="3" t="inlineStr">
        <is>
          <t>consilium_core.tests.test_retention</t>
        </is>
      </c>
      <c r="D358" s="3" t="inlineStr">
        <is>
          <t>TestRetention</t>
        </is>
      </c>
      <c r="E358" s="3" t="inlineStr">
        <is>
          <t>test_a_legal_hold_freezes_a_record_that_no_retention_class_covers</t>
        </is>
      </c>
      <c r="F358" s="3" t="inlineStr">
        <is>
          <t>whole class</t>
        </is>
      </c>
      <c r="G358" s="2" t="n">
        <v>14</v>
      </c>
      <c r="H358" s="2" t="n">
        <v>14</v>
      </c>
      <c r="I358" s="3" t="inlineStr">
        <is>
          <t>consilium/consilium_core/tests/test_retention.py</t>
        </is>
      </c>
    </row>
    <row r="359" ht="17" customHeight="1">
      <c r="A359" s="2" t="inlineStr">
        <is>
          <t>G-16</t>
        </is>
      </c>
      <c r="B359" s="3" t="inlineStr">
        <is>
          <t>CGF</t>
        </is>
      </c>
      <c r="C359" s="3" t="inlineStr">
        <is>
          <t>consilium_core.tests.test_retention</t>
        </is>
      </c>
      <c r="D359" s="3" t="inlineStr">
        <is>
          <t>TestRetention</t>
        </is>
      </c>
      <c r="E359" s="3" t="inlineStr">
        <is>
          <t>test_a_released_hold_is_not_active</t>
        </is>
      </c>
      <c r="F359" s="3" t="inlineStr">
        <is>
          <t>whole class</t>
        </is>
      </c>
      <c r="G359" s="2" t="n">
        <v>14</v>
      </c>
      <c r="H359" s="2" t="n">
        <v>14</v>
      </c>
      <c r="I359" s="3" t="inlineStr">
        <is>
          <t>consilium/consilium_core/tests/test_retention.py</t>
        </is>
      </c>
    </row>
    <row r="360" ht="17" customHeight="1">
      <c r="A360" s="2" t="inlineStr">
        <is>
          <t>G-16</t>
        </is>
      </c>
      <c r="B360" s="3" t="inlineStr">
        <is>
          <t>CGF</t>
        </is>
      </c>
      <c r="C360" s="3" t="inlineStr">
        <is>
          <t>consilium_core.tests.test_retention</t>
        </is>
      </c>
      <c r="D360" s="3" t="inlineStr">
        <is>
          <t>TestRetention</t>
        </is>
      </c>
      <c r="E360" s="3" t="inlineStr">
        <is>
          <t>test_a_hold_released_before_it_was_placed_is_rejected</t>
        </is>
      </c>
      <c r="F360" s="3" t="inlineStr">
        <is>
          <t>whole class</t>
        </is>
      </c>
      <c r="G360" s="2" t="n">
        <v>14</v>
      </c>
      <c r="H360" s="2" t="n">
        <v>14</v>
      </c>
      <c r="I360" s="3" t="inlineStr">
        <is>
          <t>consilium/consilium_core/tests/test_retention.py</t>
        </is>
      </c>
    </row>
    <row r="361" ht="17" customHeight="1">
      <c r="A361" s="2" t="inlineStr">
        <is>
          <t>G-16</t>
        </is>
      </c>
      <c r="B361" s="3" t="inlineStr">
        <is>
          <t>CGF</t>
        </is>
      </c>
      <c r="C361" s="3" t="inlineStr">
        <is>
          <t>consilium_core.tests.test_retention</t>
        </is>
      </c>
      <c r="D361" s="3" t="inlineStr">
        <is>
          <t>TestRetention</t>
        </is>
      </c>
      <c r="E361" s="3" t="inlineStr">
        <is>
          <t>test_an_archive_record_is_hash_chained_and_immutable</t>
        </is>
      </c>
      <c r="F361" s="3" t="inlineStr">
        <is>
          <t>whole class</t>
        </is>
      </c>
      <c r="G361" s="2" t="n">
        <v>14</v>
      </c>
      <c r="H361" s="2" t="n">
        <v>14</v>
      </c>
      <c r="I361" s="3" t="inlineStr">
        <is>
          <t>consilium/consilium_core/tests/test_retention.py</t>
        </is>
      </c>
    </row>
    <row r="362" ht="17" customHeight="1">
      <c r="A362" s="2" t="inlineStr">
        <is>
          <t>G-16</t>
        </is>
      </c>
      <c r="B362" s="3" t="inlineStr">
        <is>
          <t>CGF</t>
        </is>
      </c>
      <c r="C362" s="3" t="inlineStr">
        <is>
          <t>consilium_core.tests.test_retention</t>
        </is>
      </c>
      <c r="D362" s="3" t="inlineStr">
        <is>
          <t>TestRetention</t>
        </is>
      </c>
      <c r="E362" s="3" t="inlineStr">
        <is>
          <t>test_a_legal_hold_overrides_a_scheduled_disposal</t>
        </is>
      </c>
      <c r="F362" s="3" t="inlineStr">
        <is>
          <t>whole class</t>
        </is>
      </c>
      <c r="G362" s="2" t="n">
        <v>14</v>
      </c>
      <c r="H362" s="2" t="n">
        <v>14</v>
      </c>
      <c r="I362" s="3" t="inlineStr">
        <is>
          <t>consilium/consilium_core/tests/test_retention.py</t>
        </is>
      </c>
    </row>
    <row r="363" ht="17" customHeight="1">
      <c r="A363" s="2" t="inlineStr">
        <is>
          <t>G-16</t>
        </is>
      </c>
      <c r="B363" s="3" t="inlineStr">
        <is>
          <t>CGF</t>
        </is>
      </c>
      <c r="C363" s="3" t="inlineStr">
        <is>
          <t>consilium_core.tests.test_retention</t>
        </is>
      </c>
      <c r="D363" s="3" t="inlineStr">
        <is>
          <t>TestRetention</t>
        </is>
      </c>
      <c r="E363" s="3" t="inlineStr">
        <is>
          <t>test_disposal_without_an_approver_is_refused</t>
        </is>
      </c>
      <c r="F363" s="3" t="inlineStr">
        <is>
          <t>whole class</t>
        </is>
      </c>
      <c r="G363" s="2" t="n">
        <v>14</v>
      </c>
      <c r="H363" s="2" t="n">
        <v>14</v>
      </c>
      <c r="I363" s="3" t="inlineStr">
        <is>
          <t>consilium/consilium_core/tests/test_retention.py</t>
        </is>
      </c>
    </row>
    <row r="364" ht="17" customHeight="1">
      <c r="A364" s="2" t="inlineStr">
        <is>
          <t>G-16</t>
        </is>
      </c>
      <c r="B364" s="3" t="inlineStr">
        <is>
          <t>CGF</t>
        </is>
      </c>
      <c r="C364" s="3" t="inlineStr">
        <is>
          <t>consilium_core.tests.test_retention</t>
        </is>
      </c>
      <c r="D364" s="3" t="inlineStr">
        <is>
          <t>TestRetention</t>
        </is>
      </c>
      <c r="E364" s="3" t="inlineStr">
        <is>
          <t>test_an_approved_disposal_executes</t>
        </is>
      </c>
      <c r="F364" s="3" t="inlineStr">
        <is>
          <t>whole class</t>
        </is>
      </c>
      <c r="G364" s="2" t="n">
        <v>14</v>
      </c>
      <c r="H364" s="2" t="n">
        <v>14</v>
      </c>
      <c r="I364" s="3" t="inlineStr">
        <is>
          <t>consilium/consilium_core/tests/test_retention.py</t>
        </is>
      </c>
    </row>
    <row r="365" ht="17" customHeight="1">
      <c r="A365" s="2" t="inlineStr">
        <is>
          <t>G-16</t>
        </is>
      </c>
      <c r="B365" s="3" t="inlineStr">
        <is>
          <t>CGF</t>
        </is>
      </c>
      <c r="C365" s="3" t="inlineStr">
        <is>
          <t>consilium_core.tests.test_retention</t>
        </is>
      </c>
      <c r="D365" s="3" t="inlineStr">
        <is>
          <t>TestRetention</t>
        </is>
      </c>
      <c r="E365" s="3" t="inlineStr">
        <is>
          <t>test_releasing_a_hold_returns_held_events_to_the_schedule</t>
        </is>
      </c>
      <c r="F365" s="3" t="inlineStr">
        <is>
          <t>whole class</t>
        </is>
      </c>
      <c r="G365" s="2" t="n">
        <v>14</v>
      </c>
      <c r="H365" s="2" t="n">
        <v>14</v>
      </c>
      <c r="I365" s="3" t="inlineStr">
        <is>
          <t>consilium/consilium_core/tests/test_retention.py</t>
        </is>
      </c>
    </row>
    <row r="366" ht="17" customHeight="1">
      <c r="A366" s="2" t="inlineStr">
        <is>
          <t>G-16</t>
        </is>
      </c>
      <c r="B366" s="3" t="inlineStr">
        <is>
          <t>CGF</t>
        </is>
      </c>
      <c r="C366" s="3" t="inlineStr">
        <is>
          <t>consilium_core.tests.test_retention</t>
        </is>
      </c>
      <c r="D366" s="3" t="inlineStr">
        <is>
          <t>TestRetention</t>
        </is>
      </c>
      <c r="E366" s="3" t="inlineStr">
        <is>
          <t>test_the_due_date_comes_from_the_class_trigger</t>
        </is>
      </c>
      <c r="F366" s="3" t="inlineStr">
        <is>
          <t>whole class</t>
        </is>
      </c>
      <c r="G366" s="2" t="n">
        <v>14</v>
      </c>
      <c r="H366" s="2" t="n">
        <v>14</v>
      </c>
      <c r="I366" s="3" t="inlineStr">
        <is>
          <t>consilium/consilium_core/tests/test_retention.py</t>
        </is>
      </c>
    </row>
    <row r="367" ht="30" customHeight="1">
      <c r="A367" s="2" t="inlineStr">
        <is>
          <t>G-16</t>
        </is>
      </c>
      <c r="B367" s="3" t="inlineStr">
        <is>
          <t>CGF</t>
        </is>
      </c>
      <c r="C367" s="3" t="inlineStr">
        <is>
          <t>consilium_core.tests.test_core_controls_wave3</t>
        </is>
      </c>
      <c r="D367" s="3" t="inlineStr">
        <is>
          <t>TestScheduledDisposalReview</t>
        </is>
      </c>
      <c r="E367" s="3" t="inlineStr">
        <is>
          <t>test_a_record_past_its_retention_is_flagged_once_and_nothing_is_deleted</t>
        </is>
      </c>
      <c r="F367" s="3" t="inlineStr">
        <is>
          <t>whole class</t>
        </is>
      </c>
      <c r="G367" s="2" t="n">
        <v>5</v>
      </c>
      <c r="H367" s="2" t="n">
        <v>5</v>
      </c>
      <c r="I367" s="3" t="inlineStr">
        <is>
          <t>consilium/consilium_core/tests/test_core_controls_wave3.py</t>
        </is>
      </c>
    </row>
    <row r="368" ht="30" customHeight="1">
      <c r="A368" s="2" t="inlineStr">
        <is>
          <t>G-16</t>
        </is>
      </c>
      <c r="B368" s="3" t="inlineStr">
        <is>
          <t>CGF</t>
        </is>
      </c>
      <c r="C368" s="3" t="inlineStr">
        <is>
          <t>consilium_core.tests.test_core_controls_wave3</t>
        </is>
      </c>
      <c r="D368" s="3" t="inlineStr">
        <is>
          <t>TestScheduledDisposalReview</t>
        </is>
      </c>
      <c r="E368" s="3" t="inlineStr">
        <is>
          <t>test_a_record_still_within_retention_is_not_flagged</t>
        </is>
      </c>
      <c r="F368" s="3" t="inlineStr">
        <is>
          <t>whole class</t>
        </is>
      </c>
      <c r="G368" s="2" t="n">
        <v>5</v>
      </c>
      <c r="H368" s="2" t="n">
        <v>5</v>
      </c>
      <c r="I368" s="3" t="inlineStr">
        <is>
          <t>consilium/consilium_core/tests/test_core_controls_wave3.py</t>
        </is>
      </c>
    </row>
    <row r="369" ht="30" customHeight="1">
      <c r="A369" s="2" t="inlineStr">
        <is>
          <t>G-16</t>
        </is>
      </c>
      <c r="B369" s="3" t="inlineStr">
        <is>
          <t>CGF</t>
        </is>
      </c>
      <c r="C369" s="3" t="inlineStr">
        <is>
          <t>consilium_core.tests.test_core_controls_wave3</t>
        </is>
      </c>
      <c r="D369" s="3" t="inlineStr">
        <is>
          <t>TestScheduledDisposalReview</t>
        </is>
      </c>
      <c r="E369" s="3" t="inlineStr">
        <is>
          <t>test_a_held_record_is_flagged_as_held</t>
        </is>
      </c>
      <c r="F369" s="3" t="inlineStr">
        <is>
          <t>whole class</t>
        </is>
      </c>
      <c r="G369" s="2" t="n">
        <v>5</v>
      </c>
      <c r="H369" s="2" t="n">
        <v>5</v>
      </c>
      <c r="I369" s="3" t="inlineStr">
        <is>
          <t>consilium/consilium_core/tests/test_core_controls_wave3.py</t>
        </is>
      </c>
    </row>
    <row r="370" ht="30" customHeight="1">
      <c r="A370" s="2" t="inlineStr">
        <is>
          <t>G-16</t>
        </is>
      </c>
      <c r="B370" s="3" t="inlineStr">
        <is>
          <t>CGF</t>
        </is>
      </c>
      <c r="C370" s="3" t="inlineStr">
        <is>
          <t>consilium_core.tests.test_core_controls_wave3</t>
        </is>
      </c>
      <c r="D370" s="3" t="inlineStr">
        <is>
          <t>TestScheduledDisposalReview</t>
        </is>
      </c>
      <c r="E370" s="3" t="inlineStr">
        <is>
          <t>test_a_hold_placed_after_scheduling_holds_the_scheduled_disposal</t>
        </is>
      </c>
      <c r="F370" s="3" t="inlineStr">
        <is>
          <t>whole class</t>
        </is>
      </c>
      <c r="G370" s="2" t="n">
        <v>5</v>
      </c>
      <c r="H370" s="2" t="n">
        <v>5</v>
      </c>
      <c r="I370" s="3" t="inlineStr">
        <is>
          <t>consilium/consilium_core/tests/test_core_controls_wave3.py</t>
        </is>
      </c>
    </row>
    <row r="371" ht="30" customHeight="1">
      <c r="A371" s="2" t="inlineStr">
        <is>
          <t>G-16</t>
        </is>
      </c>
      <c r="B371" s="3" t="inlineStr">
        <is>
          <t>CGF</t>
        </is>
      </c>
      <c r="C371" s="3" t="inlineStr">
        <is>
          <t>consilium_core.tests.test_core_controls_wave3</t>
        </is>
      </c>
      <c r="D371" s="3" t="inlineStr">
        <is>
          <t>TestScheduledDisposalReview</t>
        </is>
      </c>
      <c r="E371" s="3" t="inlineStr">
        <is>
          <t>test_the_job_is_on_the_daily_schedule</t>
        </is>
      </c>
      <c r="F371" s="3" t="inlineStr">
        <is>
          <t>whole class</t>
        </is>
      </c>
      <c r="G371" s="2" t="n">
        <v>5</v>
      </c>
      <c r="H371" s="2" t="n">
        <v>5</v>
      </c>
      <c r="I371" s="3" t="inlineStr">
        <is>
          <t>consilium/consilium_core/tests/test_core_controls_wave3.py</t>
        </is>
      </c>
    </row>
    <row r="372" ht="17" customHeight="1">
      <c r="A372" s="2" t="inlineStr">
        <is>
          <t>G-17</t>
        </is>
      </c>
      <c r="B372" s="3" t="inlineStr">
        <is>
          <t>CGF</t>
        </is>
      </c>
      <c r="C372" s="3" t="inlineStr">
        <is>
          <t>governance.tests.test_formation</t>
        </is>
      </c>
      <c r="D372" s="3" t="inlineStr">
        <is>
          <t>TestIntake</t>
        </is>
      </c>
      <c r="E372" s="3" t="inlineStr">
        <is>
          <t>test_one_intake_covers_create_modify_and_retire</t>
        </is>
      </c>
      <c r="F372" s="3" t="inlineStr">
        <is>
          <t>whole class</t>
        </is>
      </c>
      <c r="G372" s="2" t="n">
        <v>5</v>
      </c>
      <c r="H372" s="2" t="n">
        <v>5</v>
      </c>
      <c r="I372" s="3" t="inlineStr">
        <is>
          <t>consilium/governance/tests/test_formation.py</t>
        </is>
      </c>
    </row>
    <row r="373" ht="17" customHeight="1">
      <c r="A373" s="2" t="inlineStr">
        <is>
          <t>G-17</t>
        </is>
      </c>
      <c r="B373" s="3" t="inlineStr">
        <is>
          <t>CGF</t>
        </is>
      </c>
      <c r="C373" s="3" t="inlineStr">
        <is>
          <t>governance.tests.test_formation</t>
        </is>
      </c>
      <c r="D373" s="3" t="inlineStr">
        <is>
          <t>TestIntake</t>
        </is>
      </c>
      <c r="E373" s="3" t="inlineStr">
        <is>
          <t>test_a_modify_request_must_name_its_subject</t>
        </is>
      </c>
      <c r="F373" s="3" t="inlineStr">
        <is>
          <t>whole class</t>
        </is>
      </c>
      <c r="G373" s="2" t="n">
        <v>5</v>
      </c>
      <c r="H373" s="2" t="n">
        <v>5</v>
      </c>
      <c r="I373" s="3" t="inlineStr">
        <is>
          <t>consilium/governance/tests/test_formation.py</t>
        </is>
      </c>
    </row>
    <row r="374" ht="17" customHeight="1">
      <c r="A374" s="2" t="inlineStr">
        <is>
          <t>G-17</t>
        </is>
      </c>
      <c r="B374" s="3" t="inlineStr">
        <is>
          <t>CGF</t>
        </is>
      </c>
      <c r="C374" s="3" t="inlineStr">
        <is>
          <t>governance.tests.test_formation</t>
        </is>
      </c>
      <c r="D374" s="3" t="inlineStr">
        <is>
          <t>TestIntake</t>
        </is>
      </c>
      <c r="E374" s="3" t="inlineStr">
        <is>
          <t>test_required_fields_are_enforced_before_submission</t>
        </is>
      </c>
      <c r="F374" s="3" t="inlineStr">
        <is>
          <t>whole class</t>
        </is>
      </c>
      <c r="G374" s="2" t="n">
        <v>5</v>
      </c>
      <c r="H374" s="2" t="n">
        <v>5</v>
      </c>
      <c r="I374" s="3" t="inlineStr">
        <is>
          <t>consilium/governance/tests/test_formation.py</t>
        </is>
      </c>
    </row>
    <row r="375" ht="17" customHeight="1">
      <c r="A375" s="2" t="inlineStr">
        <is>
          <t>G-17</t>
        </is>
      </c>
      <c r="B375" s="3" t="inlineStr">
        <is>
          <t>CGF</t>
        </is>
      </c>
      <c r="C375" s="3" t="inlineStr">
        <is>
          <t>governance.tests.test_formation</t>
        </is>
      </c>
      <c r="D375" s="3" t="inlineStr">
        <is>
          <t>TestIntake</t>
        </is>
      </c>
      <c r="E375" s="3" t="inlineStr">
        <is>
          <t>test_the_five_criteria_are_present_on_every_request</t>
        </is>
      </c>
      <c r="F375" s="3" t="inlineStr">
        <is>
          <t>whole class</t>
        </is>
      </c>
      <c r="G375" s="2" t="n">
        <v>5</v>
      </c>
      <c r="H375" s="2" t="n">
        <v>5</v>
      </c>
      <c r="I375" s="3" t="inlineStr">
        <is>
          <t>consilium/governance/tests/test_formation.py</t>
        </is>
      </c>
    </row>
    <row r="376" ht="17" customHeight="1">
      <c r="A376" s="2" t="inlineStr">
        <is>
          <t>G-17</t>
        </is>
      </c>
      <c r="B376" s="3" t="inlineStr">
        <is>
          <t>CGF</t>
        </is>
      </c>
      <c r="C376" s="3" t="inlineStr">
        <is>
          <t>governance.tests.test_formation</t>
        </is>
      </c>
      <c r="D376" s="3" t="inlineStr">
        <is>
          <t>TestIntake</t>
        </is>
      </c>
      <c r="E376" s="3" t="inlineStr">
        <is>
          <t>test_submission_runs_the_overlap_check</t>
        </is>
      </c>
      <c r="F376" s="3" t="inlineStr">
        <is>
          <t>whole class</t>
        </is>
      </c>
      <c r="G376" s="2" t="n">
        <v>5</v>
      </c>
      <c r="H376" s="2" t="n">
        <v>5</v>
      </c>
      <c r="I376" s="3" t="inlineStr">
        <is>
          <t>consilium/governance/tests/test_formation.py</t>
        </is>
      </c>
    </row>
    <row r="377" ht="17" customHeight="1">
      <c r="A377" s="2" t="inlineStr">
        <is>
          <t>G-17</t>
        </is>
      </c>
      <c r="B377" s="3" t="inlineStr">
        <is>
          <t>CGF</t>
        </is>
      </c>
      <c r="C377" s="3" t="inlineStr">
        <is>
          <t>governance.tests.test_formation_portal</t>
        </is>
      </c>
      <c r="D377" s="3" t="inlineStr">
        <is>
          <t>TestReturnAndRespond</t>
        </is>
      </c>
      <c r="E377" s="3" t="inlineStr">
        <is>
          <t>test_the_exchange_runs_through_the_entry_points</t>
        </is>
      </c>
      <c r="F377" s="3" t="inlineStr">
        <is>
          <t>whole class</t>
        </is>
      </c>
      <c r="G377" s="2" t="n">
        <v>4</v>
      </c>
      <c r="H377" s="2" t="n">
        <v>4</v>
      </c>
      <c r="I377" s="3" t="inlineStr">
        <is>
          <t>consilium/governance/tests/test_formation_portal.py</t>
        </is>
      </c>
    </row>
    <row r="378" ht="30" customHeight="1">
      <c r="A378" s="2" t="inlineStr">
        <is>
          <t>G-17</t>
        </is>
      </c>
      <c r="B378" s="3" t="inlineStr">
        <is>
          <t>CGF</t>
        </is>
      </c>
      <c r="C378" s="3" t="inlineStr">
        <is>
          <t>governance.tests.test_formation_portal</t>
        </is>
      </c>
      <c r="D378" s="3" t="inlineStr">
        <is>
          <t>TestReturnAndRespond</t>
        </is>
      </c>
      <c r="E378" s="3" t="inlineStr">
        <is>
          <t>test_an_originator_who_cannot_raise_requests_can_answer_theirs</t>
        </is>
      </c>
      <c r="F378" s="3" t="inlineStr">
        <is>
          <t>whole class</t>
        </is>
      </c>
      <c r="G378" s="2" t="n">
        <v>4</v>
      </c>
      <c r="H378" s="2" t="n">
        <v>4</v>
      </c>
      <c r="I378" s="3" t="inlineStr">
        <is>
          <t>consilium/governance/tests/test_formation_portal.py</t>
        </is>
      </c>
    </row>
    <row r="379" ht="30" customHeight="1">
      <c r="A379" s="2" t="inlineStr">
        <is>
          <t>G-17</t>
        </is>
      </c>
      <c r="B379" s="3" t="inlineStr">
        <is>
          <t>CGF</t>
        </is>
      </c>
      <c r="C379" s="3" t="inlineStr">
        <is>
          <t>governance.tests.test_formation_portal</t>
        </is>
      </c>
      <c r="D379" s="3" t="inlineStr">
        <is>
          <t>TestReturnAndRespond</t>
        </is>
      </c>
      <c r="E379" s="3" t="inlineStr">
        <is>
          <t>test_a_reply_to_a_request_that_was_never_returned_is_refused</t>
        </is>
      </c>
      <c r="F379" s="3" t="inlineStr">
        <is>
          <t>whole class</t>
        </is>
      </c>
      <c r="G379" s="2" t="n">
        <v>4</v>
      </c>
      <c r="H379" s="2" t="n">
        <v>4</v>
      </c>
      <c r="I379" s="3" t="inlineStr">
        <is>
          <t>consilium/governance/tests/test_formation_portal.py</t>
        </is>
      </c>
    </row>
    <row r="380" ht="17" customHeight="1">
      <c r="A380" s="2" t="inlineStr">
        <is>
          <t>G-17</t>
        </is>
      </c>
      <c r="B380" s="3" t="inlineStr">
        <is>
          <t>CGF</t>
        </is>
      </c>
      <c r="C380" s="3" t="inlineStr">
        <is>
          <t>governance.tests.test_formation_portal</t>
        </is>
      </c>
      <c r="D380" s="3" t="inlineStr">
        <is>
          <t>TestReturnAndRespond</t>
        </is>
      </c>
      <c r="E380" s="3" t="inlineStr">
        <is>
          <t>test_only_the_originator_or_the_office_may_answer</t>
        </is>
      </c>
      <c r="F380" s="3" t="inlineStr">
        <is>
          <t>whole class</t>
        </is>
      </c>
      <c r="G380" s="2" t="n">
        <v>4</v>
      </c>
      <c r="H380" s="2" t="n">
        <v>4</v>
      </c>
      <c r="I380" s="3" t="inlineStr">
        <is>
          <t>consilium/governance/tests/test_formation_portal.py</t>
        </is>
      </c>
    </row>
    <row r="381" ht="17" customHeight="1">
      <c r="A381" s="2" t="inlineStr">
        <is>
          <t>G-17</t>
        </is>
      </c>
      <c r="B381" s="3" t="inlineStr">
        <is>
          <t>CGF</t>
        </is>
      </c>
      <c r="C381" s="3" t="inlineStr">
        <is>
          <t>governance.tests.test_formation_portal</t>
        </is>
      </c>
      <c r="D381" s="3" t="inlineStr">
        <is>
          <t>TestNamedPeople</t>
        </is>
      </c>
      <c r="E381" s="3" t="inlineStr">
        <is>
          <t>test_only_enabled_signed_in_people_are_offered</t>
        </is>
      </c>
      <c r="F381" s="3" t="inlineStr">
        <is>
          <t>whole class</t>
        </is>
      </c>
      <c r="G381" s="2" t="n">
        <v>2</v>
      </c>
      <c r="H381" s="2" t="n">
        <v>2</v>
      </c>
      <c r="I381" s="3" t="inlineStr">
        <is>
          <t>consilium/governance/tests/test_formation_portal.py</t>
        </is>
      </c>
    </row>
    <row r="382" ht="30" customHeight="1">
      <c r="A382" s="2" t="inlineStr">
        <is>
          <t>G-17</t>
        </is>
      </c>
      <c r="B382" s="3" t="inlineStr">
        <is>
          <t>CGF</t>
        </is>
      </c>
      <c r="C382" s="3" t="inlineStr">
        <is>
          <t>governance.tests.test_formation_portal</t>
        </is>
      </c>
      <c r="D382" s="3" t="inlineStr">
        <is>
          <t>TestNamedPeople</t>
        </is>
      </c>
      <c r="E382" s="3" t="inlineStr">
        <is>
          <t>test_the_list_is_refused_to_someone_who_cannot_raise_a_request</t>
        </is>
      </c>
      <c r="F382" s="3" t="inlineStr">
        <is>
          <t>whole class</t>
        </is>
      </c>
      <c r="G382" s="2" t="n">
        <v>2</v>
      </c>
      <c r="H382" s="2" t="n">
        <v>2</v>
      </c>
      <c r="I382" s="3" t="inlineStr">
        <is>
          <t>consilium/governance/tests/test_formation_portal.py</t>
        </is>
      </c>
    </row>
    <row r="383" ht="30" customHeight="1">
      <c r="A383" s="2" t="inlineStr">
        <is>
          <t>G-17</t>
        </is>
      </c>
      <c r="B383" s="3" t="inlineStr">
        <is>
          <t>CGF</t>
        </is>
      </c>
      <c r="C383" s="3" t="inlineStr">
        <is>
          <t>governance.tests.test_w3_guides</t>
        </is>
      </c>
      <c r="D383" s="3" t="inlineStr">
        <is>
          <t>TestTheOriginatorReadsTheirOwnRequest</t>
        </is>
      </c>
      <c r="E383" s="3" t="inlineStr">
        <is>
          <t>test_an_originator_with_no_governance_role_can_open_answer_and_withdraw</t>
        </is>
      </c>
      <c r="F383" s="3" t="inlineStr">
        <is>
          <t>whole class</t>
        </is>
      </c>
      <c r="G383" s="2" t="n">
        <v>3</v>
      </c>
      <c r="H383" s="2" t="n">
        <v>3</v>
      </c>
      <c r="I383" s="3" t="inlineStr">
        <is>
          <t>consilium/governance/tests/test_w3_guides.py</t>
        </is>
      </c>
    </row>
    <row r="384" ht="30" customHeight="1">
      <c r="A384" s="2" t="inlineStr">
        <is>
          <t>G-17</t>
        </is>
      </c>
      <c r="B384" s="3" t="inlineStr">
        <is>
          <t>CGF</t>
        </is>
      </c>
      <c r="C384" s="3" t="inlineStr">
        <is>
          <t>governance.tests.test_w3_guides</t>
        </is>
      </c>
      <c r="D384" s="3" t="inlineStr">
        <is>
          <t>TestTheOriginatorReadsTheirOwnRequest</t>
        </is>
      </c>
      <c r="E384" s="3" t="inlineStr">
        <is>
          <t>test_somebody_else_without_a_role_still_cannot</t>
        </is>
      </c>
      <c r="F384" s="3" t="inlineStr">
        <is>
          <t>whole class</t>
        </is>
      </c>
      <c r="G384" s="2" t="n">
        <v>3</v>
      </c>
      <c r="H384" s="2" t="n">
        <v>3</v>
      </c>
      <c r="I384" s="3" t="inlineStr">
        <is>
          <t>consilium/governance/tests/test_w3_guides.py</t>
        </is>
      </c>
    </row>
    <row r="385" ht="30" customHeight="1">
      <c r="A385" s="2" t="inlineStr">
        <is>
          <t>G-17</t>
        </is>
      </c>
      <c r="B385" s="3" t="inlineStr">
        <is>
          <t>CGF</t>
        </is>
      </c>
      <c r="C385" s="3" t="inlineStr">
        <is>
          <t>governance.tests.test_w3_guides</t>
        </is>
      </c>
      <c r="D385" s="3" t="inlineStr">
        <is>
          <t>TestTheOriginatorReadsTheirOwnRequest</t>
        </is>
      </c>
      <c r="E385" s="3" t="inlineStr">
        <is>
          <t>test_the_patch_shares_requests_raised_before_the_fix</t>
        </is>
      </c>
      <c r="F385" s="3" t="inlineStr">
        <is>
          <t>whole class</t>
        </is>
      </c>
      <c r="G385" s="2" t="n">
        <v>3</v>
      </c>
      <c r="H385" s="2" t="n">
        <v>3</v>
      </c>
      <c r="I385" s="3" t="inlineStr">
        <is>
          <t>consilium/governance/tests/test_w3_guides.py</t>
        </is>
      </c>
    </row>
    <row r="386" ht="17" customHeight="1">
      <c r="A386" s="2" t="inlineStr">
        <is>
          <t>G-18</t>
        </is>
      </c>
      <c r="B386" s="3" t="inlineStr">
        <is>
          <t>CGF</t>
        </is>
      </c>
      <c r="C386" s="3" t="inlineStr">
        <is>
          <t>governance.tests.test_formation</t>
        </is>
      </c>
      <c r="D386" s="3" t="inlineStr">
        <is>
          <t>TestIntake</t>
        </is>
      </c>
      <c r="E386" s="3" t="inlineStr">
        <is>
          <t>test_required_fields_are_enforced_before_submission</t>
        </is>
      </c>
      <c r="F386" s="3" t="inlineStr">
        <is>
          <t>named method</t>
        </is>
      </c>
      <c r="G386" s="2" t="n"/>
      <c r="H386" s="2" t="n">
        <v>1</v>
      </c>
      <c r="I386" s="3" t="inlineStr">
        <is>
          <t>consilium/governance/tests/test_formation.py</t>
        </is>
      </c>
    </row>
    <row r="387" ht="17" customHeight="1">
      <c r="A387" s="2" t="inlineStr">
        <is>
          <t>G-18</t>
        </is>
      </c>
      <c r="B387" s="3" t="inlineStr">
        <is>
          <t>CGF</t>
        </is>
      </c>
      <c r="C387" s="3" t="inlineStr">
        <is>
          <t>governance.tests.test_formation</t>
        </is>
      </c>
      <c r="D387" s="3" t="inlineStr">
        <is>
          <t>TestIntake</t>
        </is>
      </c>
      <c r="E387" s="3" t="inlineStr">
        <is>
          <t>test_a_modify_request_must_name_its_subject</t>
        </is>
      </c>
      <c r="F387" s="3" t="inlineStr">
        <is>
          <t>named method</t>
        </is>
      </c>
      <c r="G387" s="2" t="n"/>
      <c r="H387" s="2" t="n">
        <v>1</v>
      </c>
      <c r="I387" s="3" t="inlineStr">
        <is>
          <t>consilium/governance/tests/test_formation.py</t>
        </is>
      </c>
    </row>
    <row r="388" ht="17" customHeight="1">
      <c r="A388" s="2" t="inlineStr">
        <is>
          <t>G-18</t>
        </is>
      </c>
      <c r="B388" s="3" t="inlineStr">
        <is>
          <t>CGF</t>
        </is>
      </c>
      <c r="C388" s="3" t="inlineStr">
        <is>
          <t>governance.tests.test_formation</t>
        </is>
      </c>
      <c r="D388" s="3" t="inlineStr">
        <is>
          <t>TestIntake</t>
        </is>
      </c>
      <c r="E388" s="3" t="inlineStr">
        <is>
          <t>test_one_intake_covers_create_modify_and_retire</t>
        </is>
      </c>
      <c r="F388" s="3" t="inlineStr">
        <is>
          <t>named method</t>
        </is>
      </c>
      <c r="G388" s="2" t="n"/>
      <c r="H388" s="2" t="n">
        <v>1</v>
      </c>
      <c r="I388" s="3" t="inlineStr">
        <is>
          <t>consilium/governance/tests/test_formation.py</t>
        </is>
      </c>
    </row>
    <row r="389" ht="30" customHeight="1">
      <c r="A389" s="2" t="inlineStr">
        <is>
          <t>G-19</t>
        </is>
      </c>
      <c r="B389" s="3" t="inlineStr">
        <is>
          <t>CGF</t>
        </is>
      </c>
      <c r="C389" s="3" t="inlineStr">
        <is>
          <t>consilium_core.tests.test_import_pipeline</t>
        </is>
      </c>
      <c r="D389" s="3" t="inlineStr">
        <is>
          <t>TestImportPipeline</t>
        </is>
      </c>
      <c r="E389" s="3" t="inlineStr">
        <is>
          <t>test_a_clean_file_validates_and_commits</t>
        </is>
      </c>
      <c r="F389" s="3" t="inlineStr">
        <is>
          <t>whole class</t>
        </is>
      </c>
      <c r="G389" s="2" t="n">
        <v>9</v>
      </c>
      <c r="H389" s="2" t="n">
        <v>9</v>
      </c>
      <c r="I389" s="3" t="inlineStr">
        <is>
          <t>consilium/consilium_core/tests/test_import_pipeline.py</t>
        </is>
      </c>
    </row>
    <row r="390" ht="30" customHeight="1">
      <c r="A390" s="2" t="inlineStr">
        <is>
          <t>G-19</t>
        </is>
      </c>
      <c r="B390" s="3" t="inlineStr">
        <is>
          <t>CGF</t>
        </is>
      </c>
      <c r="C390" s="3" t="inlineStr">
        <is>
          <t>consilium_core.tests.test_import_pipeline</t>
        </is>
      </c>
      <c r="D390" s="3" t="inlineStr">
        <is>
          <t>TestImportPipeline</t>
        </is>
      </c>
      <c r="E390" s="3" t="inlineStr">
        <is>
          <t>test_a_row_missing_a_required_value_is_held_back</t>
        </is>
      </c>
      <c r="F390" s="3" t="inlineStr">
        <is>
          <t>whole class</t>
        </is>
      </c>
      <c r="G390" s="2" t="n">
        <v>9</v>
      </c>
      <c r="H390" s="2" t="n">
        <v>9</v>
      </c>
      <c r="I390" s="3" t="inlineStr">
        <is>
          <t>consilium/consilium_core/tests/test_import_pipeline.py</t>
        </is>
      </c>
    </row>
    <row r="391" ht="30" customHeight="1">
      <c r="A391" s="2" t="inlineStr">
        <is>
          <t>G-19</t>
        </is>
      </c>
      <c r="B391" s="3" t="inlineStr">
        <is>
          <t>CGF</t>
        </is>
      </c>
      <c r="C391" s="3" t="inlineStr">
        <is>
          <t>consilium_core.tests.test_import_pipeline</t>
        </is>
      </c>
      <c r="D391" s="3" t="inlineStr">
        <is>
          <t>TestImportPipeline</t>
        </is>
      </c>
      <c r="E391" s="3" t="inlineStr">
        <is>
          <t>test_reject_batch_handling_rejects_the_whole_file</t>
        </is>
      </c>
      <c r="F391" s="3" t="inlineStr">
        <is>
          <t>whole class</t>
        </is>
      </c>
      <c r="G391" s="2" t="n">
        <v>9</v>
      </c>
      <c r="H391" s="2" t="n">
        <v>9</v>
      </c>
      <c r="I391" s="3" t="inlineStr">
        <is>
          <t>consilium/consilium_core/tests/test_import_pipeline.py</t>
        </is>
      </c>
    </row>
    <row r="392" ht="30" customHeight="1">
      <c r="A392" s="2" t="inlineStr">
        <is>
          <t>G-19</t>
        </is>
      </c>
      <c r="B392" s="3" t="inlineStr">
        <is>
          <t>CGF</t>
        </is>
      </c>
      <c r="C392" s="3" t="inlineStr">
        <is>
          <t>consilium_core.tests.test_import_pipeline</t>
        </is>
      </c>
      <c r="D392" s="3" t="inlineStr">
        <is>
          <t>TestImportPipeline</t>
        </is>
      </c>
      <c r="E392" s="3" t="inlineStr">
        <is>
          <t>test_an_unknown_taxonomy_value_is_handled_as_configured</t>
        </is>
      </c>
      <c r="F392" s="3" t="inlineStr">
        <is>
          <t>whole class</t>
        </is>
      </c>
      <c r="G392" s="2" t="n">
        <v>9</v>
      </c>
      <c r="H392" s="2" t="n">
        <v>9</v>
      </c>
      <c r="I392" s="3" t="inlineStr">
        <is>
          <t>consilium/consilium_core/tests/test_import_pipeline.py</t>
        </is>
      </c>
    </row>
    <row r="393" ht="30" customHeight="1">
      <c r="A393" s="2" t="inlineStr">
        <is>
          <t>G-19</t>
        </is>
      </c>
      <c r="B393" s="3" t="inlineStr">
        <is>
          <t>CGF</t>
        </is>
      </c>
      <c r="C393" s="3" t="inlineStr">
        <is>
          <t>consilium_core.tests.test_import_pipeline</t>
        </is>
      </c>
      <c r="D393" s="3" t="inlineStr">
        <is>
          <t>TestImportPipeline</t>
        </is>
      </c>
      <c r="E393" s="3" t="inlineStr">
        <is>
          <t>test_a_second_import_of_the_same_key_updates_rather_than_duplicates</t>
        </is>
      </c>
      <c r="F393" s="3" t="inlineStr">
        <is>
          <t>whole class</t>
        </is>
      </c>
      <c r="G393" s="2" t="n">
        <v>9</v>
      </c>
      <c r="H393" s="2" t="n">
        <v>9</v>
      </c>
      <c r="I393" s="3" t="inlineStr">
        <is>
          <t>consilium/consilium_core/tests/test_import_pipeline.py</t>
        </is>
      </c>
    </row>
    <row r="394" ht="30" customHeight="1">
      <c r="A394" s="2" t="inlineStr">
        <is>
          <t>G-19</t>
        </is>
      </c>
      <c r="B394" s="3" t="inlineStr">
        <is>
          <t>CGF</t>
        </is>
      </c>
      <c r="C394" s="3" t="inlineStr">
        <is>
          <t>consilium_core.tests.test_import_pipeline</t>
        </is>
      </c>
      <c r="D394" s="3" t="inlineStr">
        <is>
          <t>TestImportPipeline</t>
        </is>
      </c>
      <c r="E394" s="3" t="inlineStr">
        <is>
          <t>test_skip_handling_leaves_the_existing_record_alone</t>
        </is>
      </c>
      <c r="F394" s="3" t="inlineStr">
        <is>
          <t>whole class</t>
        </is>
      </c>
      <c r="G394" s="2" t="n">
        <v>9</v>
      </c>
      <c r="H394" s="2" t="n">
        <v>9</v>
      </c>
      <c r="I394" s="3" t="inlineStr">
        <is>
          <t>consilium/consilium_core/tests/test_import_pipeline.py</t>
        </is>
      </c>
    </row>
    <row r="395" ht="30" customHeight="1">
      <c r="A395" s="2" t="inlineStr">
        <is>
          <t>G-19</t>
        </is>
      </c>
      <c r="B395" s="3" t="inlineStr">
        <is>
          <t>CGF</t>
        </is>
      </c>
      <c r="C395" s="3" t="inlineStr">
        <is>
          <t>consilium_core.tests.test_import_pipeline</t>
        </is>
      </c>
      <c r="D395" s="3" t="inlineStr">
        <is>
          <t>TestImportPipeline</t>
        </is>
      </c>
      <c r="E395" s="3" t="inlineStr">
        <is>
          <t>test_a_committed_batch_cannot_be_committed_again</t>
        </is>
      </c>
      <c r="F395" s="3" t="inlineStr">
        <is>
          <t>whole class</t>
        </is>
      </c>
      <c r="G395" s="2" t="n">
        <v>9</v>
      </c>
      <c r="H395" s="2" t="n">
        <v>9</v>
      </c>
      <c r="I395" s="3" t="inlineStr">
        <is>
          <t>consilium/consilium_core/tests/test_import_pipeline.py</t>
        </is>
      </c>
    </row>
    <row r="396" ht="30" customHeight="1">
      <c r="A396" s="2" t="inlineStr">
        <is>
          <t>G-19</t>
        </is>
      </c>
      <c r="B396" s="3" t="inlineStr">
        <is>
          <t>CGF</t>
        </is>
      </c>
      <c r="C396" s="3" t="inlineStr">
        <is>
          <t>consilium_core.tests.test_import_pipeline</t>
        </is>
      </c>
      <c r="D396" s="3" t="inlineStr">
        <is>
          <t>TestImportPipeline</t>
        </is>
      </c>
      <c r="E396" s="3" t="inlineStr">
        <is>
          <t>test_a_mapping_onto_a_field_that_does_not_exist_is_refused</t>
        </is>
      </c>
      <c r="F396" s="3" t="inlineStr">
        <is>
          <t>whole class</t>
        </is>
      </c>
      <c r="G396" s="2" t="n">
        <v>9</v>
      </c>
      <c r="H396" s="2" t="n">
        <v>9</v>
      </c>
      <c r="I396" s="3" t="inlineStr">
        <is>
          <t>consilium/consilium_core/tests/test_import_pipeline.py</t>
        </is>
      </c>
    </row>
    <row r="397" ht="30" customHeight="1">
      <c r="A397" s="2" t="inlineStr">
        <is>
          <t>G-19</t>
        </is>
      </c>
      <c r="B397" s="3" t="inlineStr">
        <is>
          <t>CGF</t>
        </is>
      </c>
      <c r="C397" s="3" t="inlineStr">
        <is>
          <t>consilium_core.tests.test_import_pipeline</t>
        </is>
      </c>
      <c r="D397" s="3" t="inlineStr">
        <is>
          <t>TestImportPipeline</t>
        </is>
      </c>
      <c r="E397" s="3" t="inlineStr">
        <is>
          <t>test_an_export_batch_records_what_left</t>
        </is>
      </c>
      <c r="F397" s="3" t="inlineStr">
        <is>
          <t>whole class</t>
        </is>
      </c>
      <c r="G397" s="2" t="n">
        <v>9</v>
      </c>
      <c r="H397" s="2" t="n">
        <v>9</v>
      </c>
      <c r="I397" s="3" t="inlineStr">
        <is>
          <t>consilium/consilium_core/tests/test_import_pipeline.py</t>
        </is>
      </c>
    </row>
    <row r="398" ht="30" customHeight="1">
      <c r="A398" s="2" t="inlineStr">
        <is>
          <t>G-19</t>
        </is>
      </c>
      <c r="B398" s="3" t="inlineStr">
        <is>
          <t>CGF</t>
        </is>
      </c>
      <c r="C398" s="3" t="inlineStr">
        <is>
          <t>consilium_core.tests.test_imports_portal</t>
        </is>
      </c>
      <c r="D398" s="3" t="inlineStr">
        <is>
          <t>TestUpload</t>
        </is>
      </c>
      <c r="E398" s="3" t="inlineStr">
        <is>
          <t>test_an_upload_is_kept_hashed_and_validated_without_writing_anything</t>
        </is>
      </c>
      <c r="F398" s="3" t="inlineStr">
        <is>
          <t>whole class</t>
        </is>
      </c>
      <c r="G398" s="2" t="n">
        <v>5</v>
      </c>
      <c r="H398" s="2" t="n">
        <v>5</v>
      </c>
      <c r="I398" s="3" t="inlineStr">
        <is>
          <t>consilium/consilium_core/tests/test_imports_portal.py</t>
        </is>
      </c>
    </row>
    <row r="399" ht="30" customHeight="1">
      <c r="A399" s="2" t="inlineStr">
        <is>
          <t>G-19</t>
        </is>
      </c>
      <c r="B399" s="3" t="inlineStr">
        <is>
          <t>CGF</t>
        </is>
      </c>
      <c r="C399" s="3" t="inlineStr">
        <is>
          <t>consilium_core.tests.test_imports_portal</t>
        </is>
      </c>
      <c r="D399" s="3" t="inlineStr">
        <is>
          <t>TestUpload</t>
        </is>
      </c>
      <c r="E399" s="3" t="inlineStr">
        <is>
          <t>test_only_those_who_may_create_a_batch_may_upload</t>
        </is>
      </c>
      <c r="F399" s="3" t="inlineStr">
        <is>
          <t>whole class</t>
        </is>
      </c>
      <c r="G399" s="2" t="n">
        <v>5</v>
      </c>
      <c r="H399" s="2" t="n">
        <v>5</v>
      </c>
      <c r="I399" s="3" t="inlineStr">
        <is>
          <t>consilium/consilium_core/tests/test_imports_portal.py</t>
        </is>
      </c>
    </row>
    <row r="400" ht="30" customHeight="1">
      <c r="A400" s="2" t="inlineStr">
        <is>
          <t>G-19</t>
        </is>
      </c>
      <c r="B400" s="3" t="inlineStr">
        <is>
          <t>CGF</t>
        </is>
      </c>
      <c r="C400" s="3" t="inlineStr">
        <is>
          <t>consilium_core.tests.test_imports_portal</t>
        </is>
      </c>
      <c r="D400" s="3" t="inlineStr">
        <is>
          <t>TestUpload</t>
        </is>
      </c>
      <c r="E400" s="3" t="inlineStr">
        <is>
          <t>test_bad_files_are_refused</t>
        </is>
      </c>
      <c r="F400" s="3" t="inlineStr">
        <is>
          <t>whole class</t>
        </is>
      </c>
      <c r="G400" s="2" t="n">
        <v>5</v>
      </c>
      <c r="H400" s="2" t="n">
        <v>5</v>
      </c>
      <c r="I400" s="3" t="inlineStr">
        <is>
          <t>consilium/consilium_core/tests/test_imports_portal.py</t>
        </is>
      </c>
    </row>
    <row r="401" ht="30" customHeight="1">
      <c r="A401" s="2" t="inlineStr">
        <is>
          <t>G-19</t>
        </is>
      </c>
      <c r="B401" s="3" t="inlineStr">
        <is>
          <t>CGF</t>
        </is>
      </c>
      <c r="C401" s="3" t="inlineStr">
        <is>
          <t>consilium_core.tests.test_imports_portal</t>
        </is>
      </c>
      <c r="D401" s="3" t="inlineStr">
        <is>
          <t>TestUpload</t>
        </is>
      </c>
      <c r="E401" s="3" t="inlineStr">
        <is>
          <t>test_a_batch_level_rejection_keeps_the_batch_and_its_reason</t>
        </is>
      </c>
      <c r="F401" s="3" t="inlineStr">
        <is>
          <t>whole class</t>
        </is>
      </c>
      <c r="G401" s="2" t="n">
        <v>5</v>
      </c>
      <c r="H401" s="2" t="n">
        <v>5</v>
      </c>
      <c r="I401" s="3" t="inlineStr">
        <is>
          <t>consilium/consilium_core/tests/test_imports_portal.py</t>
        </is>
      </c>
    </row>
    <row r="402" ht="30" customHeight="1">
      <c r="A402" s="2" t="inlineStr">
        <is>
          <t>G-19</t>
        </is>
      </c>
      <c r="B402" s="3" t="inlineStr">
        <is>
          <t>CGF</t>
        </is>
      </c>
      <c r="C402" s="3" t="inlineStr">
        <is>
          <t>consilium_core.tests.test_imports_portal</t>
        </is>
      </c>
      <c r="D402" s="3" t="inlineStr">
        <is>
          <t>TestUpload</t>
        </is>
      </c>
      <c r="E402" s="3" t="inlineStr">
        <is>
          <t>test_the_profiles_list_says_which_columns_a_file_needs</t>
        </is>
      </c>
      <c r="F402" s="3" t="inlineStr">
        <is>
          <t>whole class</t>
        </is>
      </c>
      <c r="G402" s="2" t="n">
        <v>5</v>
      </c>
      <c r="H402" s="2" t="n">
        <v>5</v>
      </c>
      <c r="I402" s="3" t="inlineStr">
        <is>
          <t>consilium/consilium_core/tests/test_imports_portal.py</t>
        </is>
      </c>
    </row>
    <row r="403" ht="30" customHeight="1">
      <c r="A403" s="2" t="inlineStr">
        <is>
          <t>G-19</t>
        </is>
      </c>
      <c r="B403" s="3" t="inlineStr">
        <is>
          <t>CGF</t>
        </is>
      </c>
      <c r="C403" s="3" t="inlineStr">
        <is>
          <t>consilium_core.tests.test_imports_portal</t>
        </is>
      </c>
      <c r="D403" s="3" t="inlineStr">
        <is>
          <t>TestReview</t>
        </is>
      </c>
      <c r="E403" s="3" t="inlineStr">
        <is>
          <t>test_review_is_read_with_the_batch_permission</t>
        </is>
      </c>
      <c r="F403" s="3" t="inlineStr">
        <is>
          <t>whole class</t>
        </is>
      </c>
      <c r="G403" s="2" t="n">
        <v>7</v>
      </c>
      <c r="H403" s="2" t="n">
        <v>7</v>
      </c>
      <c r="I403" s="3" t="inlineStr">
        <is>
          <t>consilium/consilium_core/tests/test_imports_portal.py</t>
        </is>
      </c>
    </row>
    <row r="404" ht="30" customHeight="1">
      <c r="A404" s="2" t="inlineStr">
        <is>
          <t>G-19</t>
        </is>
      </c>
      <c r="B404" s="3" t="inlineStr">
        <is>
          <t>CGF</t>
        </is>
      </c>
      <c r="C404" s="3" t="inlineStr">
        <is>
          <t>consilium_core.tests.test_imports_portal</t>
        </is>
      </c>
      <c r="D404" s="3" t="inlineStr">
        <is>
          <t>TestReview</t>
        </is>
      </c>
      <c r="E404" s="3" t="inlineStr">
        <is>
          <t>test_a_row_left_out_is_not_committed_and_the_rest_are</t>
        </is>
      </c>
      <c r="F404" s="3" t="inlineStr">
        <is>
          <t>whole class</t>
        </is>
      </c>
      <c r="G404" s="2" t="n">
        <v>7</v>
      </c>
      <c r="H404" s="2" t="n">
        <v>7</v>
      </c>
      <c r="I404" s="3" t="inlineStr">
        <is>
          <t>consilium/consilium_core/tests/test_imports_portal.py</t>
        </is>
      </c>
    </row>
    <row r="405" ht="30" customHeight="1">
      <c r="A405" s="2" t="inlineStr">
        <is>
          <t>G-19</t>
        </is>
      </c>
      <c r="B405" s="3" t="inlineStr">
        <is>
          <t>CGF</t>
        </is>
      </c>
      <c r="C405" s="3" t="inlineStr">
        <is>
          <t>consilium_core.tests.test_imports_portal</t>
        </is>
      </c>
      <c r="D405" s="3" t="inlineStr">
        <is>
          <t>TestReview</t>
        </is>
      </c>
      <c r="E405" s="3" t="inlineStr">
        <is>
          <t>test_validating_again_restores_a_row_left_out</t>
        </is>
      </c>
      <c r="F405" s="3" t="inlineStr">
        <is>
          <t>whole class</t>
        </is>
      </c>
      <c r="G405" s="2" t="n">
        <v>7</v>
      </c>
      <c r="H405" s="2" t="n">
        <v>7</v>
      </c>
      <c r="I405" s="3" t="inlineStr">
        <is>
          <t>consilium/consilium_core/tests/test_imports_portal.py</t>
        </is>
      </c>
    </row>
    <row r="406" ht="30" customHeight="1">
      <c r="A406" s="2" t="inlineStr">
        <is>
          <t>G-19</t>
        </is>
      </c>
      <c r="B406" s="3" t="inlineStr">
        <is>
          <t>CGF</t>
        </is>
      </c>
      <c r="C406" s="3" t="inlineStr">
        <is>
          <t>consilium_core.tests.test_imports_portal</t>
        </is>
      </c>
      <c r="D406" s="3" t="inlineStr">
        <is>
          <t>TestReview</t>
        </is>
      </c>
      <c r="E406" s="3" t="inlineStr">
        <is>
          <t>test_commit_needs_the_right_to_create_what_the_batch_writes</t>
        </is>
      </c>
      <c r="F406" s="3" t="inlineStr">
        <is>
          <t>whole class</t>
        </is>
      </c>
      <c r="G406" s="2" t="n">
        <v>7</v>
      </c>
      <c r="H406" s="2" t="n">
        <v>7</v>
      </c>
      <c r="I406" s="3" t="inlineStr">
        <is>
          <t>consilium/consilium_core/tests/test_imports_portal.py</t>
        </is>
      </c>
    </row>
    <row r="407" ht="30" customHeight="1">
      <c r="A407" s="2" t="inlineStr">
        <is>
          <t>G-19</t>
        </is>
      </c>
      <c r="B407" s="3" t="inlineStr">
        <is>
          <t>CGF</t>
        </is>
      </c>
      <c r="C407" s="3" t="inlineStr">
        <is>
          <t>consilium_core.tests.test_imports_portal</t>
        </is>
      </c>
      <c r="D407" s="3" t="inlineStr">
        <is>
          <t>TestReview</t>
        </is>
      </c>
      <c r="E407" s="3" t="inlineStr">
        <is>
          <t>test_those_who_may_only_read_cannot_act</t>
        </is>
      </c>
      <c r="F407" s="3" t="inlineStr">
        <is>
          <t>whole class</t>
        </is>
      </c>
      <c r="G407" s="2" t="n">
        <v>7</v>
      </c>
      <c r="H407" s="2" t="n">
        <v>7</v>
      </c>
      <c r="I407" s="3" t="inlineStr">
        <is>
          <t>consilium/consilium_core/tests/test_imports_portal.py</t>
        </is>
      </c>
    </row>
    <row r="408" ht="30" customHeight="1">
      <c r="A408" s="2" t="inlineStr">
        <is>
          <t>G-19</t>
        </is>
      </c>
      <c r="B408" s="3" t="inlineStr">
        <is>
          <t>CGF</t>
        </is>
      </c>
      <c r="C408" s="3" t="inlineStr">
        <is>
          <t>consilium_core.tests.test_imports_portal</t>
        </is>
      </c>
      <c r="D408" s="3" t="inlineStr">
        <is>
          <t>TestReview</t>
        </is>
      </c>
      <c r="E408" s="3" t="inlineStr">
        <is>
          <t>test_a_batch_with_nothing_committable_is_not_committed</t>
        </is>
      </c>
      <c r="F408" s="3" t="inlineStr">
        <is>
          <t>whole class</t>
        </is>
      </c>
      <c r="G408" s="2" t="n">
        <v>7</v>
      </c>
      <c r="H408" s="2" t="n">
        <v>7</v>
      </c>
      <c r="I408" s="3" t="inlineStr">
        <is>
          <t>consilium/consilium_core/tests/test_imports_portal.py</t>
        </is>
      </c>
    </row>
    <row r="409" ht="30" customHeight="1">
      <c r="A409" s="2" t="inlineStr">
        <is>
          <t>G-19</t>
        </is>
      </c>
      <c r="B409" s="3" t="inlineStr">
        <is>
          <t>CGF</t>
        </is>
      </c>
      <c r="C409" s="3" t="inlineStr">
        <is>
          <t>consilium_core.tests.test_imports_portal</t>
        </is>
      </c>
      <c r="D409" s="3" t="inlineStr">
        <is>
          <t>TestReview</t>
        </is>
      </c>
      <c r="E409" s="3" t="inlineStr">
        <is>
          <t>test_a_module_preparer_runs_before_the_commit</t>
        </is>
      </c>
      <c r="F409" s="3" t="inlineStr">
        <is>
          <t>whole class</t>
        </is>
      </c>
      <c r="G409" s="2" t="n">
        <v>7</v>
      </c>
      <c r="H409" s="2" t="n">
        <v>7</v>
      </c>
      <c r="I409" s="3" t="inlineStr">
        <is>
          <t>consilium/consilium_core/tests/test_imports_portal.py</t>
        </is>
      </c>
    </row>
    <row r="410" ht="30" customHeight="1">
      <c r="A410" s="2" t="inlineStr">
        <is>
          <t>G-19</t>
        </is>
      </c>
      <c r="B410" s="3" t="inlineStr">
        <is>
          <t>CGF</t>
        </is>
      </c>
      <c r="C410" s="3" t="inlineStr">
        <is>
          <t>consilium_core.tests.test_imports_portal</t>
        </is>
      </c>
      <c r="D410" s="3" t="inlineStr">
        <is>
          <t>TestDiscard</t>
        </is>
      </c>
      <c r="E410" s="3" t="inlineStr">
        <is>
          <t>test_a_discarded_batch_writes_nothing_and_keeps_its_reason</t>
        </is>
      </c>
      <c r="F410" s="3" t="inlineStr">
        <is>
          <t>whole class</t>
        </is>
      </c>
      <c r="G410" s="2" t="n">
        <v>1</v>
      </c>
      <c r="H410" s="2" t="n">
        <v>1</v>
      </c>
      <c r="I410" s="3" t="inlineStr">
        <is>
          <t>consilium/consilium_core/tests/test_imports_portal.py</t>
        </is>
      </c>
    </row>
    <row r="411" ht="30" customHeight="1">
      <c r="A411" s="2" t="inlineStr">
        <is>
          <t>G-19</t>
        </is>
      </c>
      <c r="B411" s="3" t="inlineStr">
        <is>
          <t>CGF</t>
        </is>
      </c>
      <c r="C411" s="3" t="inlineStr">
        <is>
          <t>consilium_core.tests.test_imports_portal</t>
        </is>
      </c>
      <c r="D411" s="3" t="inlineStr">
        <is>
          <t>TestMethods</t>
        </is>
      </c>
      <c r="E411" s="3" t="inlineStr">
        <is>
          <t>test_acting_endpoints_accept_post_only</t>
        </is>
      </c>
      <c r="F411" s="3" t="inlineStr">
        <is>
          <t>whole class</t>
        </is>
      </c>
      <c r="G411" s="2" t="n">
        <v>1</v>
      </c>
      <c r="H411" s="2" t="n">
        <v>1</v>
      </c>
      <c r="I411" s="3" t="inlineStr">
        <is>
          <t>consilium/consilium_core/tests/test_imports_portal.py</t>
        </is>
      </c>
    </row>
    <row r="412" ht="17" customHeight="1">
      <c r="A412" s="2" t="inlineStr">
        <is>
          <t>G-19</t>
        </is>
      </c>
      <c r="B412" s="3" t="inlineStr">
        <is>
          <t>CGF</t>
        </is>
      </c>
      <c r="C412" s="3" t="inlineStr">
        <is>
          <t>escalation.tests.test_import_export</t>
        </is>
      </c>
      <c r="D412" s="3" t="inlineStr">
        <is>
          <t>TestImportPath</t>
        </is>
      </c>
      <c r="E412" s="3" t="inlineStr">
        <is>
          <t>test_a_file_of_matters_validates_and_commits</t>
        </is>
      </c>
      <c r="F412" s="3" t="inlineStr">
        <is>
          <t>whole class</t>
        </is>
      </c>
      <c r="G412" s="2" t="n">
        <v>4</v>
      </c>
      <c r="H412" s="2" t="n">
        <v>4</v>
      </c>
      <c r="I412" s="3" t="inlineStr">
        <is>
          <t>consilium/escalation/tests/test_import_export.py</t>
        </is>
      </c>
    </row>
    <row r="413" ht="30" customHeight="1">
      <c r="A413" s="2" t="inlineStr">
        <is>
          <t>G-19</t>
        </is>
      </c>
      <c r="B413" s="3" t="inlineStr">
        <is>
          <t>CGF</t>
        </is>
      </c>
      <c r="C413" s="3" t="inlineStr">
        <is>
          <t>escalation.tests.test_import_export</t>
        </is>
      </c>
      <c r="D413" s="3" t="inlineStr">
        <is>
          <t>TestImportPath</t>
        </is>
      </c>
      <c r="E413" s="3" t="inlineStr">
        <is>
          <t>test_a_row_missing_a_required_value_is_reported_and_not_written</t>
        </is>
      </c>
      <c r="F413" s="3" t="inlineStr">
        <is>
          <t>whole class</t>
        </is>
      </c>
      <c r="G413" s="2" t="n">
        <v>4</v>
      </c>
      <c r="H413" s="2" t="n">
        <v>4</v>
      </c>
      <c r="I413" s="3" t="inlineStr">
        <is>
          <t>consilium/escalation/tests/test_import_export.py</t>
        </is>
      </c>
    </row>
    <row r="414" ht="17" customHeight="1">
      <c r="A414" s="2" t="inlineStr">
        <is>
          <t>G-19</t>
        </is>
      </c>
      <c r="B414" s="3" t="inlineStr">
        <is>
          <t>CGF</t>
        </is>
      </c>
      <c r="C414" s="3" t="inlineStr">
        <is>
          <t>escalation.tests.test_import_export</t>
        </is>
      </c>
      <c r="D414" s="3" t="inlineStr">
        <is>
          <t>TestImportPath</t>
        </is>
      </c>
      <c r="E414" s="3" t="inlineStr">
        <is>
          <t>test_an_unknown_taxonomy_value_is_rejected_row_by_row</t>
        </is>
      </c>
      <c r="F414" s="3" t="inlineStr">
        <is>
          <t>whole class</t>
        </is>
      </c>
      <c r="G414" s="2" t="n">
        <v>4</v>
      </c>
      <c r="H414" s="2" t="n">
        <v>4</v>
      </c>
      <c r="I414" s="3" t="inlineStr">
        <is>
          <t>consilium/escalation/tests/test_import_export.py</t>
        </is>
      </c>
    </row>
    <row r="415" ht="17" customHeight="1">
      <c r="A415" s="2" t="inlineStr">
        <is>
          <t>G-19</t>
        </is>
      </c>
      <c r="B415" s="3" t="inlineStr">
        <is>
          <t>CGF</t>
        </is>
      </c>
      <c r="C415" s="3" t="inlineStr">
        <is>
          <t>escalation.tests.test_import_export</t>
        </is>
      </c>
      <c r="D415" s="3" t="inlineStr">
        <is>
          <t>TestImportPath</t>
        </is>
      </c>
      <c r="E415" s="3" t="inlineStr">
        <is>
          <t>test_records_can_be_extracted_as_a_file</t>
        </is>
      </c>
      <c r="F415" s="3" t="inlineStr">
        <is>
          <t>whole class</t>
        </is>
      </c>
      <c r="G415" s="2" t="n">
        <v>4</v>
      </c>
      <c r="H415" s="2" t="n">
        <v>4</v>
      </c>
      <c r="I415" s="3" t="inlineStr">
        <is>
          <t>consilium/escalation/tests/test_import_export.py</t>
        </is>
      </c>
    </row>
    <row r="416" ht="30" customHeight="1">
      <c r="A416" s="2" t="inlineStr">
        <is>
          <t>P-1</t>
        </is>
      </c>
      <c r="B416" s="3" t="inlineStr">
        <is>
          <t>POL</t>
        </is>
      </c>
      <c r="C416" s="3" t="inlineStr">
        <is>
          <t>policy.tests.test_handling</t>
        </is>
      </c>
      <c r="D416" s="3" t="inlineStr">
        <is>
          <t>TestVisibility</t>
        </is>
      </c>
      <c r="E416" s="3" t="inlineStr">
        <is>
          <t>test_a_restricted_document_is_invisible_to_an_unnamed_policy_owner</t>
        </is>
      </c>
      <c r="F416" s="3" t="inlineStr">
        <is>
          <t>whole class</t>
        </is>
      </c>
      <c r="G416" s="2" t="n">
        <v>8</v>
      </c>
      <c r="H416" s="2" t="n">
        <v>8</v>
      </c>
      <c r="I416" s="3" t="inlineStr">
        <is>
          <t>consilium/policy/tests/test_handling.py</t>
        </is>
      </c>
    </row>
    <row r="417" ht="17" customHeight="1">
      <c r="A417" s="2" t="inlineStr">
        <is>
          <t>P-1</t>
        </is>
      </c>
      <c r="B417" s="3" t="inlineStr">
        <is>
          <t>POL</t>
        </is>
      </c>
      <c r="C417" s="3" t="inlineStr">
        <is>
          <t>policy.tests.test_handling</t>
        </is>
      </c>
      <c r="D417" s="3" t="inlineStr">
        <is>
          <t>TestVisibility</t>
        </is>
      </c>
      <c r="E417" s="3" t="inlineStr">
        <is>
          <t>test_an_internal_document_is_not_narrowed</t>
        </is>
      </c>
      <c r="F417" s="3" t="inlineStr">
        <is>
          <t>whole class</t>
        </is>
      </c>
      <c r="G417" s="2" t="n">
        <v>8</v>
      </c>
      <c r="H417" s="2" t="n">
        <v>8</v>
      </c>
      <c r="I417" s="3" t="inlineStr">
        <is>
          <t>consilium/policy/tests/test_handling.py</t>
        </is>
      </c>
    </row>
    <row r="418" ht="17" customHeight="1">
      <c r="A418" s="2" t="inlineStr">
        <is>
          <t>P-1</t>
        </is>
      </c>
      <c r="B418" s="3" t="inlineStr">
        <is>
          <t>POL</t>
        </is>
      </c>
      <c r="C418" s="3" t="inlineStr">
        <is>
          <t>policy.tests.test_handling</t>
        </is>
      </c>
      <c r="D418" s="3" t="inlineStr">
        <is>
          <t>TestVisibility</t>
        </is>
      </c>
      <c r="E418" s="3" t="inlineStr">
        <is>
          <t>test_the_people_named_on_the_record_see_it</t>
        </is>
      </c>
      <c r="F418" s="3" t="inlineStr">
        <is>
          <t>whole class</t>
        </is>
      </c>
      <c r="G418" s="2" t="n">
        <v>8</v>
      </c>
      <c r="H418" s="2" t="n">
        <v>8</v>
      </c>
      <c r="I418" s="3" t="inlineStr">
        <is>
          <t>consilium/policy/tests/test_handling.py</t>
        </is>
      </c>
    </row>
    <row r="419" ht="30" customHeight="1">
      <c r="A419" s="2" t="inlineStr">
        <is>
          <t>P-1</t>
        </is>
      </c>
      <c r="B419" s="3" t="inlineStr">
        <is>
          <t>POL</t>
        </is>
      </c>
      <c r="C419" s="3" t="inlineStr">
        <is>
          <t>policy.tests.test_handling</t>
        </is>
      </c>
      <c r="D419" s="3" t="inlineStr">
        <is>
          <t>TestVisibility</t>
        </is>
      </c>
      <c r="E419" s="3" t="inlineStr">
        <is>
          <t>test_an_accountability_role_names_a_person_or_a_group_while_it_is_in_force</t>
        </is>
      </c>
      <c r="F419" s="3" t="inlineStr">
        <is>
          <t>whole class</t>
        </is>
      </c>
      <c r="G419" s="2" t="n">
        <v>8</v>
      </c>
      <c r="H419" s="2" t="n">
        <v>8</v>
      </c>
      <c r="I419" s="3" t="inlineStr">
        <is>
          <t>consilium/policy/tests/test_handling.py</t>
        </is>
      </c>
    </row>
    <row r="420" ht="30" customHeight="1">
      <c r="A420" s="2" t="inlineStr">
        <is>
          <t>P-1</t>
        </is>
      </c>
      <c r="B420" s="3" t="inlineStr">
        <is>
          <t>POL</t>
        </is>
      </c>
      <c r="C420" s="3" t="inlineStr">
        <is>
          <t>policy.tests.test_handling</t>
        </is>
      </c>
      <c r="D420" s="3" t="inlineStr">
        <is>
          <t>TestVisibility</t>
        </is>
      </c>
      <c r="E420" s="3" t="inlineStr">
        <is>
          <t>test_oversight_sees_every_document_and_a_platform_administrator_does_not</t>
        </is>
      </c>
      <c r="F420" s="3" t="inlineStr">
        <is>
          <t>whole class</t>
        </is>
      </c>
      <c r="G420" s="2" t="n">
        <v>8</v>
      </c>
      <c r="H420" s="2" t="n">
        <v>8</v>
      </c>
      <c r="I420" s="3" t="inlineStr">
        <is>
          <t>consilium/policy/tests/test_handling.py</t>
        </is>
      </c>
    </row>
    <row r="421" ht="30" customHeight="1">
      <c r="A421" s="2" t="inlineStr">
        <is>
          <t>P-1</t>
        </is>
      </c>
      <c r="B421" s="3" t="inlineStr">
        <is>
          <t>POL</t>
        </is>
      </c>
      <c r="C421" s="3" t="inlineStr">
        <is>
          <t>policy.tests.test_handling</t>
        </is>
      </c>
      <c r="D421" s="3" t="inlineStr">
        <is>
          <t>TestVisibility</t>
        </is>
      </c>
      <c r="E421" s="3" t="inlineStr">
        <is>
          <t>test_the_applicability_audience_sees_a_confidential_document_but_not_a_restricted_one</t>
        </is>
      </c>
      <c r="F421" s="3" t="inlineStr">
        <is>
          <t>whole class</t>
        </is>
      </c>
      <c r="G421" s="2" t="n">
        <v>8</v>
      </c>
      <c r="H421" s="2" t="n">
        <v>8</v>
      </c>
      <c r="I421" s="3" t="inlineStr">
        <is>
          <t>consilium/policy/tests/test_handling.py</t>
        </is>
      </c>
    </row>
    <row r="422" ht="30" customHeight="1">
      <c r="A422" s="2" t="inlineStr">
        <is>
          <t>P-1</t>
        </is>
      </c>
      <c r="B422" s="3" t="inlineStr">
        <is>
          <t>POL</t>
        </is>
      </c>
      <c r="C422" s="3" t="inlineStr">
        <is>
          <t>policy.tests.test_handling</t>
        </is>
      </c>
      <c r="D422" s="3" t="inlineStr">
        <is>
          <t>TestVisibility</t>
        </is>
      </c>
      <c r="E422" s="3" t="inlineStr">
        <is>
          <t>test_a_publication_audience_group_sees_it_until_the_publication_is_withdrawn</t>
        </is>
      </c>
      <c r="F422" s="3" t="inlineStr">
        <is>
          <t>whole class</t>
        </is>
      </c>
      <c r="G422" s="2" t="n">
        <v>8</v>
      </c>
      <c r="H422" s="2" t="n">
        <v>8</v>
      </c>
      <c r="I422" s="3" t="inlineStr">
        <is>
          <t>consilium/policy/tests/test_handling.py</t>
        </is>
      </c>
    </row>
    <row r="423" ht="17" customHeight="1">
      <c r="A423" s="2" t="inlineStr">
        <is>
          <t>P-1</t>
        </is>
      </c>
      <c r="B423" s="3" t="inlineStr">
        <is>
          <t>POL</t>
        </is>
      </c>
      <c r="C423" s="3" t="inlineStr">
        <is>
          <t>policy.tests.test_handling</t>
        </is>
      </c>
      <c r="D423" s="3" t="inlineStr">
        <is>
          <t>TestVisibility</t>
        </is>
      </c>
      <c r="E423" s="3" t="inlineStr">
        <is>
          <t>test_a_role_audience_reaches_a_confidential_document_only</t>
        </is>
      </c>
      <c r="F423" s="3" t="inlineStr">
        <is>
          <t>whole class</t>
        </is>
      </c>
      <c r="G423" s="2" t="n">
        <v>8</v>
      </c>
      <c r="H423" s="2" t="n">
        <v>8</v>
      </c>
      <c r="I423" s="3" t="inlineStr">
        <is>
          <t>consilium/policy/tests/test_handling.py</t>
        </is>
      </c>
    </row>
    <row r="424" ht="30" customHeight="1">
      <c r="A424" s="2" t="inlineStr">
        <is>
          <t>P-1</t>
        </is>
      </c>
      <c r="B424" s="3" t="inlineStr">
        <is>
          <t>POL</t>
        </is>
      </c>
      <c r="C424" s="3" t="inlineStr">
        <is>
          <t>policy.tests.test_handling</t>
        </is>
      </c>
      <c r="D424" s="3" t="inlineStr">
        <is>
          <t>TestActions</t>
        </is>
      </c>
      <c r="E424" s="3" t="inlineStr">
        <is>
          <t>test_print_is_refused_to_a_reader_when_print_is_closed_and_allowed_to_the_owner</t>
        </is>
      </c>
      <c r="F424" s="3" t="inlineStr">
        <is>
          <t>whole class</t>
        </is>
      </c>
      <c r="G424" s="2" t="n">
        <v>7</v>
      </c>
      <c r="H424" s="2" t="n">
        <v>7</v>
      </c>
      <c r="I424" s="3" t="inlineStr">
        <is>
          <t>consilium/policy/tests/test_handling.py</t>
        </is>
      </c>
    </row>
    <row r="425" ht="17" customHeight="1">
      <c r="A425" s="2" t="inlineStr">
        <is>
          <t>P-1</t>
        </is>
      </c>
      <c r="B425" s="3" t="inlineStr">
        <is>
          <t>POL</t>
        </is>
      </c>
      <c r="C425" s="3" t="inlineStr">
        <is>
          <t>policy.tests.test_handling</t>
        </is>
      </c>
      <c r="D425" s="3" t="inlineStr">
        <is>
          <t>TestActions</t>
        </is>
      </c>
      <c r="E425" s="3" t="inlineStr">
        <is>
          <t>test_print_follows_the_flag_on_an_internal_document_too</t>
        </is>
      </c>
      <c r="F425" s="3" t="inlineStr">
        <is>
          <t>whole class</t>
        </is>
      </c>
      <c r="G425" s="2" t="n">
        <v>7</v>
      </c>
      <c r="H425" s="2" t="n">
        <v>7</v>
      </c>
      <c r="I425" s="3" t="inlineStr">
        <is>
          <t>consilium/policy/tests/test_handling.py</t>
        </is>
      </c>
    </row>
    <row r="426" ht="30" customHeight="1">
      <c r="A426" s="2" t="inlineStr">
        <is>
          <t>P-1</t>
        </is>
      </c>
      <c r="B426" s="3" t="inlineStr">
        <is>
          <t>POL</t>
        </is>
      </c>
      <c r="C426" s="3" t="inlineStr">
        <is>
          <t>policy.tests.test_handling</t>
        </is>
      </c>
      <c r="D426" s="3" t="inlineStr">
        <is>
          <t>TestActions</t>
        </is>
      </c>
      <c r="E426" s="3" t="inlineStr">
        <is>
          <t>test_share_and_email_are_refused_to_a_reader_when_share_is_closed</t>
        </is>
      </c>
      <c r="F426" s="3" t="inlineStr">
        <is>
          <t>whole class</t>
        </is>
      </c>
      <c r="G426" s="2" t="n">
        <v>7</v>
      </c>
      <c r="H426" s="2" t="n">
        <v>7</v>
      </c>
      <c r="I426" s="3" t="inlineStr">
        <is>
          <t>consilium/policy/tests/test_handling.py</t>
        </is>
      </c>
    </row>
    <row r="427" ht="17" customHeight="1">
      <c r="A427" s="2" t="inlineStr">
        <is>
          <t>P-1</t>
        </is>
      </c>
      <c r="B427" s="3" t="inlineStr">
        <is>
          <t>POL</t>
        </is>
      </c>
      <c r="C427" s="3" t="inlineStr">
        <is>
          <t>policy.tests.test_handling</t>
        </is>
      </c>
      <c r="D427" s="3" t="inlineStr">
        <is>
          <t>TestActions</t>
        </is>
      </c>
      <c r="E427" s="3" t="inlineStr">
        <is>
          <t>test_the_policy_office_may_share_a_closed_document</t>
        </is>
      </c>
      <c r="F427" s="3" t="inlineStr">
        <is>
          <t>whole class</t>
        </is>
      </c>
      <c r="G427" s="2" t="n">
        <v>7</v>
      </c>
      <c r="H427" s="2" t="n">
        <v>7</v>
      </c>
      <c r="I427" s="3" t="inlineStr">
        <is>
          <t>consilium/policy/tests/test_handling.py</t>
        </is>
      </c>
    </row>
    <row r="428" ht="30" customHeight="1">
      <c r="A428" s="2" t="inlineStr">
        <is>
          <t>P-1</t>
        </is>
      </c>
      <c r="B428" s="3" t="inlineStr">
        <is>
          <t>POL</t>
        </is>
      </c>
      <c r="C428" s="3" t="inlineStr">
        <is>
          <t>policy.tests.test_handling</t>
        </is>
      </c>
      <c r="D428" s="3" t="inlineStr">
        <is>
          <t>TestActions</t>
        </is>
      </c>
      <c r="E428" s="3" t="inlineStr">
        <is>
          <t>test_an_attached_private_file_is_not_downloadable_by_someone_who_cannot_read_the_document</t>
        </is>
      </c>
      <c r="F428" s="3" t="inlineStr">
        <is>
          <t>whole class</t>
        </is>
      </c>
      <c r="G428" s="2" t="n">
        <v>7</v>
      </c>
      <c r="H428" s="2" t="n">
        <v>7</v>
      </c>
      <c r="I428" s="3" t="inlineStr">
        <is>
          <t>consilium/policy/tests/test_handling.py</t>
        </is>
      </c>
    </row>
    <row r="429" ht="30" customHeight="1">
      <c r="A429" s="2" t="inlineStr">
        <is>
          <t>P-1</t>
        </is>
      </c>
      <c r="B429" s="3" t="inlineStr">
        <is>
          <t>POL</t>
        </is>
      </c>
      <c r="C429" s="3" t="inlineStr">
        <is>
          <t>policy.tests.test_handling</t>
        </is>
      </c>
      <c r="D429" s="3" t="inlineStr">
        <is>
          <t>TestActions</t>
        </is>
      </c>
      <c r="E429" s="3" t="inlineStr">
        <is>
          <t>test_an_attached_file_follows_the_download_flag_and_the_owner_may_always_download</t>
        </is>
      </c>
      <c r="F429" s="3" t="inlineStr">
        <is>
          <t>whole class</t>
        </is>
      </c>
      <c r="G429" s="2" t="n">
        <v>7</v>
      </c>
      <c r="H429" s="2" t="n">
        <v>7</v>
      </c>
      <c r="I429" s="3" t="inlineStr">
        <is>
          <t>consilium/policy/tests/test_handling.py</t>
        </is>
      </c>
    </row>
    <row r="430" ht="30" customHeight="1">
      <c r="A430" s="2" t="inlineStr">
        <is>
          <t>P-1</t>
        </is>
      </c>
      <c r="B430" s="3" t="inlineStr">
        <is>
          <t>POL</t>
        </is>
      </c>
      <c r="C430" s="3" t="inlineStr">
        <is>
          <t>policy.tests.test_handling</t>
        </is>
      </c>
      <c r="D430" s="3" t="inlineStr">
        <is>
          <t>TestActions</t>
        </is>
      </c>
      <c r="E430" s="3" t="inlineStr">
        <is>
          <t>test_a_view_only_rendition_closes_download_even_when_the_document_allows_it</t>
        </is>
      </c>
      <c r="F430" s="3" t="inlineStr">
        <is>
          <t>whole class</t>
        </is>
      </c>
      <c r="G430" s="2" t="n">
        <v>7</v>
      </c>
      <c r="H430" s="2" t="n">
        <v>7</v>
      </c>
      <c r="I430" s="3" t="inlineStr">
        <is>
          <t>consilium/policy/tests/test_handling.py</t>
        </is>
      </c>
    </row>
    <row r="431" ht="30" customHeight="1">
      <c r="A431" s="2" t="inlineStr">
        <is>
          <t>P-1</t>
        </is>
      </c>
      <c r="B431" s="3" t="inlineStr">
        <is>
          <t>POL</t>
        </is>
      </c>
      <c r="C431" s="3" t="inlineStr">
        <is>
          <t>policy.tests.test_handling</t>
        </is>
      </c>
      <c r="D431" s="3" t="inlineStr">
        <is>
          <t>TestHandlingChanges</t>
        </is>
      </c>
      <c r="E431" s="3" t="inlineStr">
        <is>
          <t>test_the_owner_may_not_lower_a_restricted_document_and_the_refusal_is_logged</t>
        </is>
      </c>
      <c r="F431" s="3" t="inlineStr">
        <is>
          <t>whole class</t>
        </is>
      </c>
      <c r="G431" s="2" t="n">
        <v>6</v>
      </c>
      <c r="H431" s="2" t="n">
        <v>6</v>
      </c>
      <c r="I431" s="3" t="inlineStr">
        <is>
          <t>consilium/policy/tests/test_handling.py</t>
        </is>
      </c>
    </row>
    <row r="432" ht="30" customHeight="1">
      <c r="A432" s="2" t="inlineStr">
        <is>
          <t>P-1</t>
        </is>
      </c>
      <c r="B432" s="3" t="inlineStr">
        <is>
          <t>POL</t>
        </is>
      </c>
      <c r="C432" s="3" t="inlineStr">
        <is>
          <t>policy.tests.test_handling</t>
        </is>
      </c>
      <c r="D432" s="3" t="inlineStr">
        <is>
          <t>TestHandlingChanges</t>
        </is>
      </c>
      <c r="E432" s="3" t="inlineStr">
        <is>
          <t>test_the_owner_may_not_reopen_download_on_a_confidential_document</t>
        </is>
      </c>
      <c r="F432" s="3" t="inlineStr">
        <is>
          <t>whole class</t>
        </is>
      </c>
      <c r="G432" s="2" t="n">
        <v>6</v>
      </c>
      <c r="H432" s="2" t="n">
        <v>6</v>
      </c>
      <c r="I432" s="3" t="inlineStr">
        <is>
          <t>consilium/policy/tests/test_handling.py</t>
        </is>
      </c>
    </row>
    <row r="433" ht="17" customHeight="1">
      <c r="A433" s="2" t="inlineStr">
        <is>
          <t>P-1</t>
        </is>
      </c>
      <c r="B433" s="3" t="inlineStr">
        <is>
          <t>POL</t>
        </is>
      </c>
      <c r="C433" s="3" t="inlineStr">
        <is>
          <t>policy.tests.test_handling</t>
        </is>
      </c>
      <c r="D433" s="3" t="inlineStr">
        <is>
          <t>TestHandlingChanges</t>
        </is>
      </c>
      <c r="E433" s="3" t="inlineStr">
        <is>
          <t>test_the_policy_office_may_loosen_the_handling</t>
        </is>
      </c>
      <c r="F433" s="3" t="inlineStr">
        <is>
          <t>whole class</t>
        </is>
      </c>
      <c r="G433" s="2" t="n">
        <v>6</v>
      </c>
      <c r="H433" s="2" t="n">
        <v>6</v>
      </c>
      <c r="I433" s="3" t="inlineStr">
        <is>
          <t>consilium/policy/tests/test_handling.py</t>
        </is>
      </c>
    </row>
    <row r="434" ht="17" customHeight="1">
      <c r="A434" s="2" t="inlineStr">
        <is>
          <t>P-1</t>
        </is>
      </c>
      <c r="B434" s="3" t="inlineStr">
        <is>
          <t>POL</t>
        </is>
      </c>
      <c r="C434" s="3" t="inlineStr">
        <is>
          <t>policy.tests.test_handling</t>
        </is>
      </c>
      <c r="D434" s="3" t="inlineStr">
        <is>
          <t>TestHandlingChanges</t>
        </is>
      </c>
      <c r="E434" s="3" t="inlineStr">
        <is>
          <t>test_raising_a_document_closes_the_three_actions</t>
        </is>
      </c>
      <c r="F434" s="3" t="inlineStr">
        <is>
          <t>whole class</t>
        </is>
      </c>
      <c r="G434" s="2" t="n">
        <v>6</v>
      </c>
      <c r="H434" s="2" t="n">
        <v>6</v>
      </c>
      <c r="I434" s="3" t="inlineStr">
        <is>
          <t>consilium/policy/tests/test_handling.py</t>
        </is>
      </c>
    </row>
    <row r="435" ht="30" customHeight="1">
      <c r="A435" s="2" t="inlineStr">
        <is>
          <t>P-1</t>
        </is>
      </c>
      <c r="B435" s="3" t="inlineStr">
        <is>
          <t>POL</t>
        </is>
      </c>
      <c r="C435" s="3" t="inlineStr">
        <is>
          <t>policy.tests.test_handling</t>
        </is>
      </c>
      <c r="D435" s="3" t="inlineStr">
        <is>
          <t>TestHandlingChanges</t>
        </is>
      </c>
      <c r="E435" s="3" t="inlineStr">
        <is>
          <t>test_raising_a_document_moves_its_public_attachments_to_private_storage</t>
        </is>
      </c>
      <c r="F435" s="3" t="inlineStr">
        <is>
          <t>whole class</t>
        </is>
      </c>
      <c r="G435" s="2" t="n">
        <v>6</v>
      </c>
      <c r="H435" s="2" t="n">
        <v>6</v>
      </c>
      <c r="I435" s="3" t="inlineStr">
        <is>
          <t>consilium/policy/tests/test_handling.py</t>
        </is>
      </c>
    </row>
    <row r="436" ht="30" customHeight="1">
      <c r="A436" s="2" t="inlineStr">
        <is>
          <t>P-1</t>
        </is>
      </c>
      <c r="B436" s="3" t="inlineStr">
        <is>
          <t>POL</t>
        </is>
      </c>
      <c r="C436" s="3" t="inlineStr">
        <is>
          <t>policy.tests.test_handling</t>
        </is>
      </c>
      <c r="D436" s="3" t="inlineStr">
        <is>
          <t>TestHandlingChanges</t>
        </is>
      </c>
      <c r="E436" s="3" t="inlineStr">
        <is>
          <t>test_a_new_upload_to_a_restricted_document_is_stored_private</t>
        </is>
      </c>
      <c r="F436" s="3" t="inlineStr">
        <is>
          <t>whole class</t>
        </is>
      </c>
      <c r="G436" s="2" t="n">
        <v>6</v>
      </c>
      <c r="H436" s="2" t="n">
        <v>6</v>
      </c>
      <c r="I436" s="3" t="inlineStr">
        <is>
          <t>consilium/policy/tests/test_handling.py</t>
        </is>
      </c>
    </row>
    <row r="437" ht="30" customHeight="1">
      <c r="A437" s="2" t="inlineStr">
        <is>
          <t>P-1</t>
        </is>
      </c>
      <c r="B437" s="3" t="inlineStr">
        <is>
          <t>POL</t>
        </is>
      </c>
      <c r="C437" s="3" t="inlineStr">
        <is>
          <t>policy.tests.test_handling</t>
        </is>
      </c>
      <c r="D437" s="3" t="inlineStr">
        <is>
          <t>TestVersionBody</t>
        </is>
      </c>
      <c r="E437" s="3" t="inlineStr">
        <is>
          <t>test_a_reader_gets_the_body_inline_and_uncached_when_it_may_not_be_downloaded</t>
        </is>
      </c>
      <c r="F437" s="3" t="inlineStr">
        <is>
          <t>whole class</t>
        </is>
      </c>
      <c r="G437" s="2" t="n">
        <v>4</v>
      </c>
      <c r="H437" s="2" t="n">
        <v>4</v>
      </c>
      <c r="I437" s="3" t="inlineStr">
        <is>
          <t>consilium/policy/tests/test_handling.py</t>
        </is>
      </c>
    </row>
    <row r="438" ht="30" customHeight="1">
      <c r="A438" s="2" t="inlineStr">
        <is>
          <t>P-1</t>
        </is>
      </c>
      <c r="B438" s="3" t="inlineStr">
        <is>
          <t>POL</t>
        </is>
      </c>
      <c r="C438" s="3" t="inlineStr">
        <is>
          <t>policy.tests.test_handling</t>
        </is>
      </c>
      <c r="D438" s="3" t="inlineStr">
        <is>
          <t>TestVersionBody</t>
        </is>
      </c>
      <c r="E438" s="3" t="inlineStr">
        <is>
          <t>test_someone_who_cannot_read_the_document_cannot_read_its_body</t>
        </is>
      </c>
      <c r="F438" s="3" t="inlineStr">
        <is>
          <t>whole class</t>
        </is>
      </c>
      <c r="G438" s="2" t="n">
        <v>4</v>
      </c>
      <c r="H438" s="2" t="n">
        <v>4</v>
      </c>
      <c r="I438" s="3" t="inlineStr">
        <is>
          <t>consilium/policy/tests/test_handling.py</t>
        </is>
      </c>
    </row>
    <row r="439" ht="17" customHeight="1">
      <c r="A439" s="2" t="inlineStr">
        <is>
          <t>P-1</t>
        </is>
      </c>
      <c r="B439" s="3" t="inlineStr">
        <is>
          <t>POL</t>
        </is>
      </c>
      <c r="C439" s="3" t="inlineStr">
        <is>
          <t>policy.tests.test_handling</t>
        </is>
      </c>
      <c r="D439" s="3" t="inlineStr">
        <is>
          <t>TestVersionBody</t>
        </is>
      </c>
      <c r="E439" s="3" t="inlineStr">
        <is>
          <t>test_a_file_that_could_run_script_is_never_served_inline</t>
        </is>
      </c>
      <c r="F439" s="3" t="inlineStr">
        <is>
          <t>whole class</t>
        </is>
      </c>
      <c r="G439" s="2" t="n">
        <v>4</v>
      </c>
      <c r="H439" s="2" t="n">
        <v>4</v>
      </c>
      <c r="I439" s="3" t="inlineStr">
        <is>
          <t>consilium/policy/tests/test_handling.py</t>
        </is>
      </c>
    </row>
    <row r="440" ht="17" customHeight="1">
      <c r="A440" s="2" t="inlineStr">
        <is>
          <t>P-1</t>
        </is>
      </c>
      <c r="B440" s="3" t="inlineStr">
        <is>
          <t>POL</t>
        </is>
      </c>
      <c r="C440" s="3" t="inlineStr">
        <is>
          <t>policy.tests.test_handling</t>
        </is>
      </c>
      <c r="D440" s="3" t="inlineStr">
        <is>
          <t>TestVersionBody</t>
        </is>
      </c>
      <c r="E440" s="3" t="inlineStr">
        <is>
          <t>test_a_guest_is_refused</t>
        </is>
      </c>
      <c r="F440" s="3" t="inlineStr">
        <is>
          <t>whole class</t>
        </is>
      </c>
      <c r="G440" s="2" t="n">
        <v>4</v>
      </c>
      <c r="H440" s="2" t="n">
        <v>4</v>
      </c>
      <c r="I440" s="3" t="inlineStr">
        <is>
          <t>consilium/policy/tests/test_handling.py</t>
        </is>
      </c>
    </row>
    <row r="441" ht="17" customHeight="1">
      <c r="A441" s="2" t="inlineStr">
        <is>
          <t>P-1</t>
        </is>
      </c>
      <c r="B441" s="3" t="inlineStr">
        <is>
          <t>POL</t>
        </is>
      </c>
      <c r="C441" s="3" t="inlineStr">
        <is>
          <t>policy.tests.test_handling</t>
        </is>
      </c>
      <c r="D441" s="3" t="inlineStr">
        <is>
          <t>TestVersionHooks</t>
        </is>
      </c>
      <c r="E441" s="3" t="inlineStr">
        <is>
          <t>test_a_version_carries_its_documents_handling</t>
        </is>
      </c>
      <c r="F441" s="3" t="inlineStr">
        <is>
          <t>whole class</t>
        </is>
      </c>
      <c r="G441" s="2" t="n">
        <v>2</v>
      </c>
      <c r="H441" s="2" t="n">
        <v>2</v>
      </c>
      <c r="I441" s="3" t="inlineStr">
        <is>
          <t>consilium/policy/tests/test_handling.py</t>
        </is>
      </c>
    </row>
    <row r="442" ht="17" customHeight="1">
      <c r="A442" s="2" t="inlineStr">
        <is>
          <t>P-1</t>
        </is>
      </c>
      <c r="B442" s="3" t="inlineStr">
        <is>
          <t>POL</t>
        </is>
      </c>
      <c r="C442" s="3" t="inlineStr">
        <is>
          <t>policy.tests.test_handling</t>
        </is>
      </c>
      <c r="D442" s="3" t="inlineStr">
        <is>
          <t>TestVersionHooks</t>
        </is>
      </c>
      <c r="E442" s="3" t="inlineStr">
        <is>
          <t>test_a_body_file_attached_to_the_version_is_guarded_too</t>
        </is>
      </c>
      <c r="F442" s="3" t="inlineStr">
        <is>
          <t>whole class</t>
        </is>
      </c>
      <c r="G442" s="2" t="n">
        <v>2</v>
      </c>
      <c r="H442" s="2" t="n">
        <v>2</v>
      </c>
      <c r="I442" s="3" t="inlineStr">
        <is>
          <t>consilium/policy/tests/test_handling.py</t>
        </is>
      </c>
    </row>
    <row r="443" ht="30" customHeight="1">
      <c r="A443" s="2" t="inlineStr">
        <is>
          <t>P-1</t>
        </is>
      </c>
      <c r="B443" s="3" t="inlineStr">
        <is>
          <t>POL</t>
        </is>
      </c>
      <c r="C443" s="3" t="inlineStr">
        <is>
          <t>policy.tests.test_handling</t>
        </is>
      </c>
      <c r="D443" s="3" t="inlineStr">
        <is>
          <t>TestViewerPage</t>
        </is>
      </c>
      <c r="E443" s="3" t="inlineStr">
        <is>
          <t>test_a_named_reader_sees_the_body_with_a_watermark_and_no_download</t>
        </is>
      </c>
      <c r="F443" s="3" t="inlineStr">
        <is>
          <t>whole class</t>
        </is>
      </c>
      <c r="G443" s="2" t="n">
        <v>5</v>
      </c>
      <c r="H443" s="2" t="n">
        <v>5</v>
      </c>
      <c r="I443" s="3" t="inlineStr">
        <is>
          <t>consilium/policy/tests/test_handling.py</t>
        </is>
      </c>
    </row>
    <row r="444" ht="17" customHeight="1">
      <c r="A444" s="2" t="inlineStr">
        <is>
          <t>P-1</t>
        </is>
      </c>
      <c r="B444" s="3" t="inlineStr">
        <is>
          <t>POL</t>
        </is>
      </c>
      <c r="C444" s="3" t="inlineStr">
        <is>
          <t>policy.tests.test_handling</t>
        </is>
      </c>
      <c r="D444" s="3" t="inlineStr">
        <is>
          <t>TestViewerPage</t>
        </is>
      </c>
      <c r="E444" s="3" t="inlineStr">
        <is>
          <t>test_the_owner_is_offered_a_download</t>
        </is>
      </c>
      <c r="F444" s="3" t="inlineStr">
        <is>
          <t>whole class</t>
        </is>
      </c>
      <c r="G444" s="2" t="n">
        <v>5</v>
      </c>
      <c r="H444" s="2" t="n">
        <v>5</v>
      </c>
      <c r="I444" s="3" t="inlineStr">
        <is>
          <t>consilium/policy/tests/test_handling.py</t>
        </is>
      </c>
    </row>
    <row r="445" ht="17" customHeight="1">
      <c r="A445" s="2" t="inlineStr">
        <is>
          <t>P-1</t>
        </is>
      </c>
      <c r="B445" s="3" t="inlineStr">
        <is>
          <t>POL</t>
        </is>
      </c>
      <c r="C445" s="3" t="inlineStr">
        <is>
          <t>policy.tests.test_handling</t>
        </is>
      </c>
      <c r="D445" s="3" t="inlineStr">
        <is>
          <t>TestViewerPage</t>
        </is>
      </c>
      <c r="E445" s="3" t="inlineStr">
        <is>
          <t>test_an_authored_body_is_rendered_sanitised</t>
        </is>
      </c>
      <c r="F445" s="3" t="inlineStr">
        <is>
          <t>whole class</t>
        </is>
      </c>
      <c r="G445" s="2" t="n">
        <v>5</v>
      </c>
      <c r="H445" s="2" t="n">
        <v>5</v>
      </c>
      <c r="I445" s="3" t="inlineStr">
        <is>
          <t>consilium/policy/tests/test_handling.py</t>
        </is>
      </c>
    </row>
    <row r="446" ht="17" customHeight="1">
      <c r="A446" s="2" t="inlineStr">
        <is>
          <t>P-1</t>
        </is>
      </c>
      <c r="B446" s="3" t="inlineStr">
        <is>
          <t>POL</t>
        </is>
      </c>
      <c r="C446" s="3" t="inlineStr">
        <is>
          <t>policy.tests.test_handling</t>
        </is>
      </c>
      <c r="D446" s="3" t="inlineStr">
        <is>
          <t>TestViewerPage</t>
        </is>
      </c>
      <c r="E446" s="3" t="inlineStr">
        <is>
          <t>test_someone_who_cannot_read_the_document_is_refused</t>
        </is>
      </c>
      <c r="F446" s="3" t="inlineStr">
        <is>
          <t>whole class</t>
        </is>
      </c>
      <c r="G446" s="2" t="n">
        <v>5</v>
      </c>
      <c r="H446" s="2" t="n">
        <v>5</v>
      </c>
      <c r="I446" s="3" t="inlineStr">
        <is>
          <t>consilium/policy/tests/test_handling.py</t>
        </is>
      </c>
    </row>
    <row r="447" ht="17" customHeight="1">
      <c r="A447" s="2" t="inlineStr">
        <is>
          <t>P-1</t>
        </is>
      </c>
      <c r="B447" s="3" t="inlineStr">
        <is>
          <t>POL</t>
        </is>
      </c>
      <c r="C447" s="3" t="inlineStr">
        <is>
          <t>policy.tests.test_handling</t>
        </is>
      </c>
      <c r="D447" s="3" t="inlineStr">
        <is>
          <t>TestViewerPage</t>
        </is>
      </c>
      <c r="E447" s="3" t="inlineStr">
        <is>
          <t>test_an_unknown_version_and_a_missing_one_are_stated</t>
        </is>
      </c>
      <c r="F447" s="3" t="inlineStr">
        <is>
          <t>whole class</t>
        </is>
      </c>
      <c r="G447" s="2" t="n">
        <v>5</v>
      </c>
      <c r="H447" s="2" t="n">
        <v>5</v>
      </c>
      <c r="I447" s="3" t="inlineStr">
        <is>
          <t>consilium/policy/tests/test_handling.py</t>
        </is>
      </c>
    </row>
    <row r="448" ht="17" customHeight="1">
      <c r="A448" s="2" t="inlineStr">
        <is>
          <t>P-1</t>
        </is>
      </c>
      <c r="B448" s="3" t="inlineStr">
        <is>
          <t>POL</t>
        </is>
      </c>
      <c r="C448" s="3" t="inlineStr">
        <is>
          <t>policy.tests.test_repository</t>
        </is>
      </c>
      <c r="D448" s="3" t="inlineStr">
        <is>
          <t>TestGoverningDocument</t>
        </is>
      </c>
      <c r="E448" s="3" t="inlineStr">
        <is>
          <t>test_confidential_closes_the_three_actions_by_default</t>
        </is>
      </c>
      <c r="F448" s="3" t="inlineStr">
        <is>
          <t>named method</t>
        </is>
      </c>
      <c r="G448" s="2" t="n"/>
      <c r="H448" s="2" t="n">
        <v>1</v>
      </c>
      <c r="I448" s="3" t="inlineStr">
        <is>
          <t>consilium/policy/tests/test_repository.py</t>
        </is>
      </c>
    </row>
    <row r="449" ht="30" customHeight="1">
      <c r="A449" s="2" t="inlineStr">
        <is>
          <t>P-2</t>
        </is>
      </c>
      <c r="B449" s="3" t="inlineStr">
        <is>
          <t>POL</t>
        </is>
      </c>
      <c r="C449" s="3" t="inlineStr">
        <is>
          <t>policy.tests.test_wave3</t>
        </is>
      </c>
      <c r="D449" s="3" t="inlineStr">
        <is>
          <t>TestSearch</t>
        </is>
      </c>
      <c r="E449" s="3" t="inlineStr">
        <is>
          <t>test_search_finds_the_current_versions_text_when_the_record_carries_none</t>
        </is>
      </c>
      <c r="F449" s="3" t="inlineStr">
        <is>
          <t>whole class</t>
        </is>
      </c>
      <c r="G449" s="2" t="n">
        <v>4</v>
      </c>
      <c r="H449" s="2" t="n">
        <v>4</v>
      </c>
      <c r="I449" s="3" t="inlineStr">
        <is>
          <t>consilium/policy/tests/test_wave3.py</t>
        </is>
      </c>
    </row>
    <row r="450" ht="17" customHeight="1">
      <c r="A450" s="2" t="inlineStr">
        <is>
          <t>P-2</t>
        </is>
      </c>
      <c r="B450" s="3" t="inlineStr">
        <is>
          <t>POL</t>
        </is>
      </c>
      <c r="C450" s="3" t="inlineStr">
        <is>
          <t>policy.tests.test_wave3</t>
        </is>
      </c>
      <c r="D450" s="3" t="inlineStr">
        <is>
          <t>TestSearch</t>
        </is>
      </c>
      <c r="E450" s="3" t="inlineStr">
        <is>
          <t>test_the_owner_filter_and_the_abstract</t>
        </is>
      </c>
      <c r="F450" s="3" t="inlineStr">
        <is>
          <t>whole class</t>
        </is>
      </c>
      <c r="G450" s="2" t="n">
        <v>4</v>
      </c>
      <c r="H450" s="2" t="n">
        <v>4</v>
      </c>
      <c r="I450" s="3" t="inlineStr">
        <is>
          <t>consilium/policy/tests/test_wave3.py</t>
        </is>
      </c>
    </row>
    <row r="451" ht="30" customHeight="1">
      <c r="A451" s="2" t="inlineStr">
        <is>
          <t>P-2</t>
        </is>
      </c>
      <c r="B451" s="3" t="inlineStr">
        <is>
          <t>POL</t>
        </is>
      </c>
      <c r="C451" s="3" t="inlineStr">
        <is>
          <t>policy.tests.test_wave3</t>
        </is>
      </c>
      <c r="D451" s="3" t="inlineStr">
        <is>
          <t>TestSearch</t>
        </is>
      </c>
      <c r="E451" s="3" t="inlineStr">
        <is>
          <t>test_a_restricted_document_is_neither_found_nor_counted_for_someone_not_named</t>
        </is>
      </c>
      <c r="F451" s="3" t="inlineStr">
        <is>
          <t>whole class</t>
        </is>
      </c>
      <c r="G451" s="2" t="n">
        <v>4</v>
      </c>
      <c r="H451" s="2" t="n">
        <v>4</v>
      </c>
      <c r="I451" s="3" t="inlineStr">
        <is>
          <t>consilium/policy/tests/test_wave3.py</t>
        </is>
      </c>
    </row>
    <row r="452" ht="30" customHeight="1">
      <c r="A452" s="2" t="inlineStr">
        <is>
          <t>P-2</t>
        </is>
      </c>
      <c r="B452" s="3" t="inlineStr">
        <is>
          <t>POL</t>
        </is>
      </c>
      <c r="C452" s="3" t="inlineStr">
        <is>
          <t>policy.tests.test_wave3</t>
        </is>
      </c>
      <c r="D452" s="3" t="inlineStr">
        <is>
          <t>TestSearch</t>
        </is>
      </c>
      <c r="E452" s="3" t="inlineStr">
        <is>
          <t>test_the_inventory_page_offers_the_owner_filter_and_content_search</t>
        </is>
      </c>
      <c r="F452" s="3" t="inlineStr">
        <is>
          <t>whole class</t>
        </is>
      </c>
      <c r="G452" s="2" t="n">
        <v>4</v>
      </c>
      <c r="H452" s="2" t="n">
        <v>4</v>
      </c>
      <c r="I452" s="3" t="inlineStr">
        <is>
          <t>consilium/policy/tests/test_wave3.py</t>
        </is>
      </c>
    </row>
    <row r="453" ht="17" customHeight="1">
      <c r="A453" s="2" t="inlineStr">
        <is>
          <t>P-2</t>
        </is>
      </c>
      <c r="B453" s="3" t="inlineStr">
        <is>
          <t>POL</t>
        </is>
      </c>
      <c r="C453" s="3" t="inlineStr">
        <is>
          <t>policy.tests.test_repository</t>
        </is>
      </c>
      <c r="D453" s="3" t="inlineStr">
        <is>
          <t>TestGoverningDocument</t>
        </is>
      </c>
      <c r="E453" s="3" t="inlineStr">
        <is>
          <t>test_search_filters_and_matches_title_and_content</t>
        </is>
      </c>
      <c r="F453" s="3" t="inlineStr">
        <is>
          <t>named method</t>
        </is>
      </c>
      <c r="G453" s="2" t="n"/>
      <c r="H453" s="2" t="n">
        <v>1</v>
      </c>
      <c r="I453" s="3" t="inlineStr">
        <is>
          <t>consilium/policy/tests/test_repository.py</t>
        </is>
      </c>
    </row>
    <row r="454" ht="17" customHeight="1">
      <c r="A454" s="2" t="inlineStr">
        <is>
          <t>P-2</t>
        </is>
      </c>
      <c r="B454" s="3" t="inlineStr">
        <is>
          <t>POL</t>
        </is>
      </c>
      <c r="C454" s="3" t="inlineStr">
        <is>
          <t>policy.tests.test_repository</t>
        </is>
      </c>
      <c r="D454" s="3" t="inlineStr">
        <is>
          <t>TestGoverningDocument</t>
        </is>
      </c>
      <c r="E454" s="3" t="inlineStr">
        <is>
          <t>test_search_respects_permissions</t>
        </is>
      </c>
      <c r="F454" s="3" t="inlineStr">
        <is>
          <t>named method</t>
        </is>
      </c>
      <c r="G454" s="2" t="n"/>
      <c r="H454" s="2" t="n">
        <v>1</v>
      </c>
      <c r="I454" s="3" t="inlineStr">
        <is>
          <t>consilium/policy/tests/test_repository.py</t>
        </is>
      </c>
    </row>
    <row r="455" ht="17" customHeight="1">
      <c r="A455" s="2" t="inlineStr">
        <is>
          <t>P-2</t>
        </is>
      </c>
      <c r="B455" s="3" t="inlineStr">
        <is>
          <t>POL</t>
        </is>
      </c>
      <c r="C455" s="3" t="inlineStr">
        <is>
          <t>consilium_core.tests.test_global_search</t>
        </is>
      </c>
      <c r="D455" s="3" t="inlineStr">
        <is>
          <t>TestGlobalSearch</t>
        </is>
      </c>
      <c r="E455" s="3" t="inlineStr">
        <is>
          <t>test_a_visitor_is_refused</t>
        </is>
      </c>
      <c r="F455" s="3" t="inlineStr">
        <is>
          <t>whole class</t>
        </is>
      </c>
      <c r="G455" s="2" t="n">
        <v>9</v>
      </c>
      <c r="H455" s="2" t="n">
        <v>9</v>
      </c>
      <c r="I455" s="3" t="inlineStr">
        <is>
          <t>consilium/consilium_core/tests/test_global_search.py</t>
        </is>
      </c>
    </row>
    <row r="456" ht="17" customHeight="1">
      <c r="A456" s="2" t="inlineStr">
        <is>
          <t>P-2</t>
        </is>
      </c>
      <c r="B456" s="3" t="inlineStr">
        <is>
          <t>POL</t>
        </is>
      </c>
      <c r="C456" s="3" t="inlineStr">
        <is>
          <t>consilium_core.tests.test_global_search</t>
        </is>
      </c>
      <c r="D456" s="3" t="inlineStr">
        <is>
          <t>TestGlobalSearch</t>
        </is>
      </c>
      <c r="E456" s="3" t="inlineStr">
        <is>
          <t>test_a_sensitive_matter_reaches_only_the_cleared</t>
        </is>
      </c>
      <c r="F456" s="3" t="inlineStr">
        <is>
          <t>whole class</t>
        </is>
      </c>
      <c r="G456" s="2" t="n">
        <v>9</v>
      </c>
      <c r="H456" s="2" t="n">
        <v>9</v>
      </c>
      <c r="I456" s="3" t="inlineStr">
        <is>
          <t>consilium/consilium_core/tests/test_global_search.py</t>
        </is>
      </c>
    </row>
    <row r="457" ht="17" customHeight="1">
      <c r="A457" s="2" t="inlineStr">
        <is>
          <t>P-2</t>
        </is>
      </c>
      <c r="B457" s="3" t="inlineStr">
        <is>
          <t>POL</t>
        </is>
      </c>
      <c r="C457" s="3" t="inlineStr">
        <is>
          <t>consilium_core.tests.test_global_search</t>
        </is>
      </c>
      <c r="D457" s="3" t="inlineStr">
        <is>
          <t>TestGlobalSearch</t>
        </is>
      </c>
      <c r="E457" s="3" t="inlineStr">
        <is>
          <t>test_a_reference_finds_the_record_but_not_a_hidden_one</t>
        </is>
      </c>
      <c r="F457" s="3" t="inlineStr">
        <is>
          <t>whole class</t>
        </is>
      </c>
      <c r="G457" s="2" t="n">
        <v>9</v>
      </c>
      <c r="H457" s="2" t="n">
        <v>9</v>
      </c>
      <c r="I457" s="3" t="inlineStr">
        <is>
          <t>consilium/consilium_core/tests/test_global_search.py</t>
        </is>
      </c>
    </row>
    <row r="458" ht="17" customHeight="1">
      <c r="A458" s="2" t="inlineStr">
        <is>
          <t>P-2</t>
        </is>
      </c>
      <c r="B458" s="3" t="inlineStr">
        <is>
          <t>POL</t>
        </is>
      </c>
      <c r="C458" s="3" t="inlineStr">
        <is>
          <t>consilium_core.tests.test_global_search</t>
        </is>
      </c>
      <c r="D458" s="3" t="inlineStr">
        <is>
          <t>TestGlobalSearch</t>
        </is>
      </c>
      <c r="E458" s="3" t="inlineStr">
        <is>
          <t>test_a_type_the_person_may_not_read_is_left_out</t>
        </is>
      </c>
      <c r="F458" s="3" t="inlineStr">
        <is>
          <t>whole class</t>
        </is>
      </c>
      <c r="G458" s="2" t="n">
        <v>9</v>
      </c>
      <c r="H458" s="2" t="n">
        <v>9</v>
      </c>
      <c r="I458" s="3" t="inlineStr">
        <is>
          <t>consilium/consilium_core/tests/test_global_search.py</t>
        </is>
      </c>
    </row>
    <row r="459" ht="17" customHeight="1">
      <c r="A459" s="2" t="inlineStr">
        <is>
          <t>P-2</t>
        </is>
      </c>
      <c r="B459" s="3" t="inlineStr">
        <is>
          <t>POL</t>
        </is>
      </c>
      <c r="C459" s="3" t="inlineStr">
        <is>
          <t>consilium_core.tests.test_global_search</t>
        </is>
      </c>
      <c r="D459" s="3" t="inlineStr">
        <is>
          <t>TestGlobalSearch</t>
        </is>
      </c>
      <c r="E459" s="3" t="inlineStr">
        <is>
          <t>test_short_and_wildcard_queries_match_nothing_extra</t>
        </is>
      </c>
      <c r="F459" s="3" t="inlineStr">
        <is>
          <t>whole class</t>
        </is>
      </c>
      <c r="G459" s="2" t="n">
        <v>9</v>
      </c>
      <c r="H459" s="2" t="n">
        <v>9</v>
      </c>
      <c r="I459" s="3" t="inlineStr">
        <is>
          <t>consilium/consilium_core/tests/test_global_search.py</t>
        </is>
      </c>
    </row>
    <row r="460" ht="17" customHeight="1">
      <c r="A460" s="2" t="inlineStr">
        <is>
          <t>P-2</t>
        </is>
      </c>
      <c r="B460" s="3" t="inlineStr">
        <is>
          <t>POL</t>
        </is>
      </c>
      <c r="C460" s="3" t="inlineStr">
        <is>
          <t>consilium_core.tests.test_global_search</t>
        </is>
      </c>
      <c r="D460" s="3" t="inlineStr">
        <is>
          <t>TestGlobalSearch</t>
        </is>
      </c>
      <c r="E460" s="3" t="inlineStr">
        <is>
          <t>test_matching_ignores_case</t>
        </is>
      </c>
      <c r="F460" s="3" t="inlineStr">
        <is>
          <t>whole class</t>
        </is>
      </c>
      <c r="G460" s="2" t="n">
        <v>9</v>
      </c>
      <c r="H460" s="2" t="n">
        <v>9</v>
      </c>
      <c r="I460" s="3" t="inlineStr">
        <is>
          <t>consilium/consilium_core/tests/test_global_search.py</t>
        </is>
      </c>
    </row>
    <row r="461" ht="17" customHeight="1">
      <c r="A461" s="2" t="inlineStr">
        <is>
          <t>P-2</t>
        </is>
      </c>
      <c r="B461" s="3" t="inlineStr">
        <is>
          <t>POL</t>
        </is>
      </c>
      <c r="C461" s="3" t="inlineStr">
        <is>
          <t>consilium_core.tests.test_global_search</t>
        </is>
      </c>
      <c r="D461" s="3" t="inlineStr">
        <is>
          <t>TestGlobalSearch</t>
        </is>
      </c>
      <c r="E461" s="3" t="inlineStr">
        <is>
          <t>test_results_say_where_they_open_and_the_limit_holds</t>
        </is>
      </c>
      <c r="F461" s="3" t="inlineStr">
        <is>
          <t>whole class</t>
        </is>
      </c>
      <c r="G461" s="2" t="n">
        <v>9</v>
      </c>
      <c r="H461" s="2" t="n">
        <v>9</v>
      </c>
      <c r="I461" s="3" t="inlineStr">
        <is>
          <t>consilium/consilium_core/tests/test_global_search.py</t>
        </is>
      </c>
    </row>
    <row r="462" ht="17" customHeight="1">
      <c r="A462" s="2" t="inlineStr">
        <is>
          <t>P-2</t>
        </is>
      </c>
      <c r="B462" s="3" t="inlineStr">
        <is>
          <t>POL</t>
        </is>
      </c>
      <c r="C462" s="3" t="inlineStr">
        <is>
          <t>consilium_core.tests.test_global_search</t>
        </is>
      </c>
      <c r="D462" s="3" t="inlineStr">
        <is>
          <t>TestGlobalSearch</t>
        </is>
      </c>
      <c r="E462" s="3" t="inlineStr">
        <is>
          <t>test_the_limit_is_capped</t>
        </is>
      </c>
      <c r="F462" s="3" t="inlineStr">
        <is>
          <t>whole class</t>
        </is>
      </c>
      <c r="G462" s="2" t="n">
        <v>9</v>
      </c>
      <c r="H462" s="2" t="n">
        <v>9</v>
      </c>
      <c r="I462" s="3" t="inlineStr">
        <is>
          <t>consilium/consilium_core/tests/test_global_search.py</t>
        </is>
      </c>
    </row>
    <row r="463" ht="17" customHeight="1">
      <c r="A463" s="2" t="inlineStr">
        <is>
          <t>P-2</t>
        </is>
      </c>
      <c r="B463" s="3" t="inlineStr">
        <is>
          <t>POL</t>
        </is>
      </c>
      <c r="C463" s="3" t="inlineStr">
        <is>
          <t>consilium_core.tests.test_global_search</t>
        </is>
      </c>
      <c r="D463" s="3" t="inlineStr">
        <is>
          <t>TestGlobalSearch</t>
        </is>
      </c>
      <c r="E463" s="3" t="inlineStr">
        <is>
          <t>test_it_is_a_get_endpoint</t>
        </is>
      </c>
      <c r="F463" s="3" t="inlineStr">
        <is>
          <t>whole class</t>
        </is>
      </c>
      <c r="G463" s="2" t="n">
        <v>9</v>
      </c>
      <c r="H463" s="2" t="n">
        <v>9</v>
      </c>
      <c r="I463" s="3" t="inlineStr">
        <is>
          <t>consilium/consilium_core/tests/test_global_search.py</t>
        </is>
      </c>
    </row>
    <row r="464" ht="17" customHeight="1">
      <c r="A464" s="2" t="inlineStr">
        <is>
          <t>P-3</t>
        </is>
      </c>
      <c r="B464" s="3" t="inlineStr">
        <is>
          <t>POL</t>
        </is>
      </c>
      <c r="C464" s="3" t="inlineStr">
        <is>
          <t>policy.tests.test_repository</t>
        </is>
      </c>
      <c r="D464" s="3" t="inlineStr">
        <is>
          <t>TestGoverningDocument</t>
        </is>
      </c>
      <c r="E464" s="3" t="inlineStr">
        <is>
          <t>test_creates_with_required_metadata</t>
        </is>
      </c>
      <c r="F464" s="3" t="inlineStr">
        <is>
          <t>named method</t>
        </is>
      </c>
      <c r="G464" s="2" t="n"/>
      <c r="H464" s="2" t="n">
        <v>1</v>
      </c>
      <c r="I464" s="3" t="inlineStr">
        <is>
          <t>consilium/policy/tests/test_repository.py</t>
        </is>
      </c>
    </row>
    <row r="465" ht="17" customHeight="1">
      <c r="A465" s="2" t="inlineStr">
        <is>
          <t>P-3</t>
        </is>
      </c>
      <c r="B465" s="3" t="inlineStr">
        <is>
          <t>POL</t>
        </is>
      </c>
      <c r="C465" s="3" t="inlineStr">
        <is>
          <t>policy.tests.test_repository</t>
        </is>
      </c>
      <c r="D465" s="3" t="inlineStr">
        <is>
          <t>TestGoverningDocument</t>
        </is>
      </c>
      <c r="E465" s="3" t="inlineStr">
        <is>
          <t>test_refuses_creation_without_required_metadata</t>
        </is>
      </c>
      <c r="F465" s="3" t="inlineStr">
        <is>
          <t>named method</t>
        </is>
      </c>
      <c r="G465" s="2" t="n"/>
      <c r="H465" s="2" t="n">
        <v>1</v>
      </c>
      <c r="I465" s="3" t="inlineStr">
        <is>
          <t>consilium/policy/tests/test_repository.py</t>
        </is>
      </c>
    </row>
    <row r="466" ht="17" customHeight="1">
      <c r="A466" s="2" t="inlineStr">
        <is>
          <t>P-3</t>
        </is>
      </c>
      <c r="B466" s="3" t="inlineStr">
        <is>
          <t>POL</t>
        </is>
      </c>
      <c r="C466" s="3" t="inlineStr">
        <is>
          <t>policy.tests.test_repository</t>
        </is>
      </c>
      <c r="D466" s="3" t="inlineStr">
        <is>
          <t>TestGoverningDocument</t>
        </is>
      </c>
      <c r="E466" s="3" t="inlineStr">
        <is>
          <t>test_material_entity_flag_requires_an_entity</t>
        </is>
      </c>
      <c r="F466" s="3" t="inlineStr">
        <is>
          <t>named method</t>
        </is>
      </c>
      <c r="G466" s="2" t="n"/>
      <c r="H466" s="2" t="n">
        <v>1</v>
      </c>
      <c r="I466" s="3" t="inlineStr">
        <is>
          <t>consilium/policy/tests/test_repository.py</t>
        </is>
      </c>
    </row>
    <row r="467" ht="17" customHeight="1">
      <c r="A467" s="2" t="inlineStr">
        <is>
          <t>P-3</t>
        </is>
      </c>
      <c r="B467" s="3" t="inlineStr">
        <is>
          <t>POL</t>
        </is>
      </c>
      <c r="C467" s="3" t="inlineStr">
        <is>
          <t>policy.tests.test_entities</t>
        </is>
      </c>
      <c r="D467" s="3" t="inlineStr">
        <is>
          <t>TestAccountabilityAndReferences</t>
        </is>
      </c>
      <c r="E467" s="3" t="inlineStr">
        <is>
          <t>test_further_accountability_roles_are_many_per_document</t>
        </is>
      </c>
      <c r="F467" s="3" t="inlineStr">
        <is>
          <t>whole class</t>
        </is>
      </c>
      <c r="G467" s="2" t="n">
        <v>3</v>
      </c>
      <c r="H467" s="2" t="n">
        <v>3</v>
      </c>
      <c r="I467" s="3" t="inlineStr">
        <is>
          <t>consilium/policy/tests/test_entities.py</t>
        </is>
      </c>
    </row>
    <row r="468" ht="17" customHeight="1">
      <c r="A468" s="2" t="inlineStr">
        <is>
          <t>P-3</t>
        </is>
      </c>
      <c r="B468" s="3" t="inlineStr">
        <is>
          <t>POL</t>
        </is>
      </c>
      <c r="C468" s="3" t="inlineStr">
        <is>
          <t>policy.tests.test_entities</t>
        </is>
      </c>
      <c r="D468" s="3" t="inlineStr">
        <is>
          <t>TestAccountabilityAndReferences</t>
        </is>
      </c>
      <c r="E468" s="3" t="inlineStr">
        <is>
          <t>test_regulatory_references_cite_the_shared_library</t>
        </is>
      </c>
      <c r="F468" s="3" t="inlineStr">
        <is>
          <t>whole class</t>
        </is>
      </c>
      <c r="G468" s="2" t="n">
        <v>3</v>
      </c>
      <c r="H468" s="2" t="n">
        <v>3</v>
      </c>
      <c r="I468" s="3" t="inlineStr">
        <is>
          <t>consilium/policy/tests/test_entities.py</t>
        </is>
      </c>
    </row>
    <row r="469" ht="17" customHeight="1">
      <c r="A469" s="2" t="inlineStr">
        <is>
          <t>P-3</t>
        </is>
      </c>
      <c r="B469" s="3" t="inlineStr">
        <is>
          <t>POL</t>
        </is>
      </c>
      <c r="C469" s="3" t="inlineStr">
        <is>
          <t>policy.tests.test_entities</t>
        </is>
      </c>
      <c r="D469" s="3" t="inlineStr">
        <is>
          <t>TestAccountabilityAndReferences</t>
        </is>
      </c>
      <c r="E469" s="3" t="inlineStr">
        <is>
          <t>test_organisational_and_risk_scope_are_multi_valued</t>
        </is>
      </c>
      <c r="F469" s="3" t="inlineStr">
        <is>
          <t>whole class</t>
        </is>
      </c>
      <c r="G469" s="2" t="n">
        <v>3</v>
      </c>
      <c r="H469" s="2" t="n">
        <v>3</v>
      </c>
      <c r="I469" s="3" t="inlineStr">
        <is>
          <t>consilium/policy/tests/test_entities.py</t>
        </is>
      </c>
    </row>
    <row r="470" ht="30" customHeight="1">
      <c r="A470" s="2" t="inlineStr">
        <is>
          <t>P-3</t>
        </is>
      </c>
      <c r="B470" s="3" t="inlineStr">
        <is>
          <t>POL</t>
        </is>
      </c>
      <c r="C470" s="3" t="inlineStr">
        <is>
          <t>policy.tests.test_wave3</t>
        </is>
      </c>
      <c r="D470" s="3" t="inlineStr">
        <is>
          <t>TestMetadataCorrection</t>
        </is>
      </c>
      <c r="E470" s="3" t="inlineStr">
        <is>
          <t>test_a_published_document_is_corrected_with_a_reason_and_no_new_version</t>
        </is>
      </c>
      <c r="F470" s="3" t="inlineStr">
        <is>
          <t>whole class</t>
        </is>
      </c>
      <c r="G470" s="2" t="n">
        <v>3</v>
      </c>
      <c r="H470" s="2" t="n">
        <v>3</v>
      </c>
      <c r="I470" s="3" t="inlineStr">
        <is>
          <t>consilium/policy/tests/test_wave3.py</t>
        </is>
      </c>
    </row>
    <row r="471" ht="17" customHeight="1">
      <c r="A471" s="2" t="inlineStr">
        <is>
          <t>P-3</t>
        </is>
      </c>
      <c r="B471" s="3" t="inlineStr">
        <is>
          <t>POL</t>
        </is>
      </c>
      <c r="C471" s="3" t="inlineStr">
        <is>
          <t>policy.tests.test_wave3</t>
        </is>
      </c>
      <c r="D471" s="3" t="inlineStr">
        <is>
          <t>TestMetadataCorrection</t>
        </is>
      </c>
      <c r="E471" s="3" t="inlineStr">
        <is>
          <t>test_content_and_lifecycle_are_not_correctable</t>
        </is>
      </c>
      <c r="F471" s="3" t="inlineStr">
        <is>
          <t>whole class</t>
        </is>
      </c>
      <c r="G471" s="2" t="n">
        <v>3</v>
      </c>
      <c r="H471" s="2" t="n">
        <v>3</v>
      </c>
      <c r="I471" s="3" t="inlineStr">
        <is>
          <t>consilium/policy/tests/test_wave3.py</t>
        </is>
      </c>
    </row>
    <row r="472" ht="17" customHeight="1">
      <c r="A472" s="2" t="inlineStr">
        <is>
          <t>P-3</t>
        </is>
      </c>
      <c r="B472" s="3" t="inlineStr">
        <is>
          <t>POL</t>
        </is>
      </c>
      <c r="C472" s="3" t="inlineStr">
        <is>
          <t>policy.tests.test_wave3</t>
        </is>
      </c>
      <c r="D472" s="3" t="inlineStr">
        <is>
          <t>TestMetadataCorrection</t>
        </is>
      </c>
      <c r="E472" s="3" t="inlineStr">
        <is>
          <t>test_a_reviewer_is_refused</t>
        </is>
      </c>
      <c r="F472" s="3" t="inlineStr">
        <is>
          <t>whole class</t>
        </is>
      </c>
      <c r="G472" s="2" t="n">
        <v>3</v>
      </c>
      <c r="H472" s="2" t="n">
        <v>3</v>
      </c>
      <c r="I472" s="3" t="inlineStr">
        <is>
          <t>consilium/policy/tests/test_wave3.py</t>
        </is>
      </c>
    </row>
    <row r="473" ht="17" customHeight="1">
      <c r="A473" s="2" t="inlineStr">
        <is>
          <t>P-4</t>
        </is>
      </c>
      <c r="B473" s="3" t="inlineStr">
        <is>
          <t>POL</t>
        </is>
      </c>
      <c r="C473" s="3" t="inlineStr">
        <is>
          <t>policy.tests.test_repository</t>
        </is>
      </c>
      <c r="D473" s="3" t="inlineStr">
        <is>
          <t>TestLineage</t>
        </is>
      </c>
      <c r="E473" s="3" t="inlineStr">
        <is>
          <t>test_lineage_is_navigable_in_both_directions</t>
        </is>
      </c>
      <c r="F473" s="3" t="inlineStr">
        <is>
          <t>whole class</t>
        </is>
      </c>
      <c r="G473" s="2" t="n">
        <v>4</v>
      </c>
      <c r="H473" s="2" t="n">
        <v>4</v>
      </c>
      <c r="I473" s="3" t="inlineStr">
        <is>
          <t>consilium/policy/tests/test_repository.py</t>
        </is>
      </c>
    </row>
    <row r="474" ht="17" customHeight="1">
      <c r="A474" s="2" t="inlineStr">
        <is>
          <t>P-4</t>
        </is>
      </c>
      <c r="B474" s="3" t="inlineStr">
        <is>
          <t>POL</t>
        </is>
      </c>
      <c r="C474" s="3" t="inlineStr">
        <is>
          <t>policy.tests.test_repository</t>
        </is>
      </c>
      <c r="D474" s="3" t="inlineStr">
        <is>
          <t>TestLineage</t>
        </is>
      </c>
      <c r="E474" s="3" t="inlineStr">
        <is>
          <t>test_a_document_cannot_be_its_own_parent</t>
        </is>
      </c>
      <c r="F474" s="3" t="inlineStr">
        <is>
          <t>whole class</t>
        </is>
      </c>
      <c r="G474" s="2" t="n">
        <v>4</v>
      </c>
      <c r="H474" s="2" t="n">
        <v>4</v>
      </c>
      <c r="I474" s="3" t="inlineStr">
        <is>
          <t>consilium/policy/tests/test_repository.py</t>
        </is>
      </c>
    </row>
    <row r="475" ht="17" customHeight="1">
      <c r="A475" s="2" t="inlineStr">
        <is>
          <t>P-4</t>
        </is>
      </c>
      <c r="B475" s="3" t="inlineStr">
        <is>
          <t>POL</t>
        </is>
      </c>
      <c r="C475" s="3" t="inlineStr">
        <is>
          <t>policy.tests.test_repository</t>
        </is>
      </c>
      <c r="D475" s="3" t="inlineStr">
        <is>
          <t>TestLineage</t>
        </is>
      </c>
      <c r="E475" s="3" t="inlineStr">
        <is>
          <t>test_a_circular_chain_is_refused_and_audited</t>
        </is>
      </c>
      <c r="F475" s="3" t="inlineStr">
        <is>
          <t>whole class</t>
        </is>
      </c>
      <c r="G475" s="2" t="n">
        <v>4</v>
      </c>
      <c r="H475" s="2" t="n">
        <v>4</v>
      </c>
      <c r="I475" s="3" t="inlineStr">
        <is>
          <t>consilium/policy/tests/test_repository.py</t>
        </is>
      </c>
    </row>
    <row r="476" ht="17" customHeight="1">
      <c r="A476" s="2" t="inlineStr">
        <is>
          <t>P-4</t>
        </is>
      </c>
      <c r="B476" s="3" t="inlineStr">
        <is>
          <t>POL</t>
        </is>
      </c>
      <c r="C476" s="3" t="inlineStr">
        <is>
          <t>policy.tests.test_repository</t>
        </is>
      </c>
      <c r="D476" s="3" t="inlineStr">
        <is>
          <t>TestLineage</t>
        </is>
      </c>
      <c r="E476" s="3" t="inlineStr">
        <is>
          <t>test_a_cycle_through_a_relationship_row_is_refused</t>
        </is>
      </c>
      <c r="F476" s="3" t="inlineStr">
        <is>
          <t>whole class</t>
        </is>
      </c>
      <c r="G476" s="2" t="n">
        <v>4</v>
      </c>
      <c r="H476" s="2" t="n">
        <v>4</v>
      </c>
      <c r="I476" s="3" t="inlineStr">
        <is>
          <t>consilium/policy/tests/test_repository.py</t>
        </is>
      </c>
    </row>
    <row r="477" ht="30" customHeight="1">
      <c r="A477" s="2" t="inlineStr">
        <is>
          <t>P-4</t>
        </is>
      </c>
      <c r="B477" s="3" t="inlineStr">
        <is>
          <t>POL</t>
        </is>
      </c>
      <c r="C477" s="3" t="inlineStr">
        <is>
          <t>policy.tests.test_wave3</t>
        </is>
      </c>
      <c r="D477" s="3" t="inlineStr">
        <is>
          <t>TestLineageVisibility</t>
        </is>
      </c>
      <c r="E477" s="3" t="inlineStr">
        <is>
          <t>test_a_restricted_child_is_not_named_to_someone_who_cannot_read_it</t>
        </is>
      </c>
      <c r="F477" s="3" t="inlineStr">
        <is>
          <t>whole class</t>
        </is>
      </c>
      <c r="G477" s="2" t="n">
        <v>1</v>
      </c>
      <c r="H477" s="2" t="n">
        <v>1</v>
      </c>
      <c r="I477" s="3" t="inlineStr">
        <is>
          <t>consilium/policy/tests/test_wave3.py</t>
        </is>
      </c>
    </row>
    <row r="478" ht="17" customHeight="1">
      <c r="A478" s="2" t="inlineStr">
        <is>
          <t>P-4</t>
        </is>
      </c>
      <c r="B478" s="3" t="inlineStr">
        <is>
          <t>POL</t>
        </is>
      </c>
      <c r="C478" s="3" t="inlineStr">
        <is>
          <t>policy.tests.test_wave3</t>
        </is>
      </c>
      <c r="D478" s="3" t="inlineStr">
        <is>
          <t>TestReporting</t>
        </is>
      </c>
      <c r="E478" s="3" t="inlineStr">
        <is>
          <t>test_sections_count_only_what_the_viewer_may_read</t>
        </is>
      </c>
      <c r="F478" s="3" t="inlineStr">
        <is>
          <t>whole class</t>
        </is>
      </c>
      <c r="G478" s="2" t="n">
        <v>3</v>
      </c>
      <c r="H478" s="2" t="n">
        <v>3</v>
      </c>
      <c r="I478" s="3" t="inlineStr">
        <is>
          <t>consilium/policy/tests/test_wave3.py</t>
        </is>
      </c>
    </row>
    <row r="479" ht="17" customHeight="1">
      <c r="A479" s="2" t="inlineStr">
        <is>
          <t>P-4</t>
        </is>
      </c>
      <c r="B479" s="3" t="inlineStr">
        <is>
          <t>POL</t>
        </is>
      </c>
      <c r="C479" s="3" t="inlineStr">
        <is>
          <t>policy.tests.test_wave3</t>
        </is>
      </c>
      <c r="D479" s="3" t="inlineStr">
        <is>
          <t>TestReporting</t>
        </is>
      </c>
      <c r="E479" s="3" t="inlineStr">
        <is>
          <t>test_export_is_the_same_rows_as_a_file</t>
        </is>
      </c>
      <c r="F479" s="3" t="inlineStr">
        <is>
          <t>whole class</t>
        </is>
      </c>
      <c r="G479" s="2" t="n">
        <v>3</v>
      </c>
      <c r="H479" s="2" t="n">
        <v>3</v>
      </c>
      <c r="I479" s="3" t="inlineStr">
        <is>
          <t>consilium/policy/tests/test_wave3.py</t>
        </is>
      </c>
    </row>
    <row r="480" ht="17" customHeight="1">
      <c r="A480" s="2" t="inlineStr">
        <is>
          <t>P-4</t>
        </is>
      </c>
      <c r="B480" s="3" t="inlineStr">
        <is>
          <t>POL</t>
        </is>
      </c>
      <c r="C480" s="3" t="inlineStr">
        <is>
          <t>policy.tests.test_wave3</t>
        </is>
      </c>
      <c r="D480" s="3" t="inlineStr">
        <is>
          <t>TestReporting</t>
        </is>
      </c>
      <c r="E480" s="3" t="inlineStr">
        <is>
          <t>test_a_spreadsheet_formula_is_exported_as_text</t>
        </is>
      </c>
      <c r="F480" s="3" t="inlineStr">
        <is>
          <t>whole class</t>
        </is>
      </c>
      <c r="G480" s="2" t="n">
        <v>3</v>
      </c>
      <c r="H480" s="2" t="n">
        <v>3</v>
      </c>
      <c r="I480" s="3" t="inlineStr">
        <is>
          <t>consilium/policy/tests/test_wave3.py</t>
        </is>
      </c>
    </row>
    <row r="481" ht="30" customHeight="1">
      <c r="A481" s="2" t="inlineStr">
        <is>
          <t>P-5</t>
        </is>
      </c>
      <c r="B481" s="3" t="inlineStr">
        <is>
          <t>POL</t>
        </is>
      </c>
      <c r="C481" s="3" t="inlineStr">
        <is>
          <t>consilium_core.tests.test_ai_features</t>
        </is>
      </c>
      <c r="D481" s="3" t="inlineStr">
        <is>
          <t>TestImpact</t>
        </is>
      </c>
      <c r="E481" s="3" t="inlineStr">
        <is>
          <t>test_the_rule_based_impact_reaches_lineage_regulation_forums_monitoring_and_violations</t>
        </is>
      </c>
      <c r="F481" s="3" t="inlineStr">
        <is>
          <t>named method</t>
        </is>
      </c>
      <c r="G481" s="2" t="n"/>
      <c r="H481" s="2" t="n">
        <v>1</v>
      </c>
      <c r="I481" s="3" t="inlineStr">
        <is>
          <t>consilium/consilium_core/tests/test_ai_features.py</t>
        </is>
      </c>
    </row>
    <row r="482" ht="17" customHeight="1">
      <c r="A482" s="2" t="inlineStr">
        <is>
          <t>P-5</t>
        </is>
      </c>
      <c r="B482" s="3" t="inlineStr">
        <is>
          <t>POL</t>
        </is>
      </c>
      <c r="C482" s="3" t="inlineStr">
        <is>
          <t>policy.tests.test_entities</t>
        </is>
      </c>
      <c r="D482" s="3" t="inlineStr">
        <is>
          <t>TestImplementationPlan</t>
        </is>
      </c>
      <c r="E482" s="3" t="inlineStr">
        <is>
          <t>test_working_groups_and_references_are_multi_valued</t>
        </is>
      </c>
      <c r="F482" s="3" t="inlineStr">
        <is>
          <t>named method</t>
        </is>
      </c>
      <c r="G482" s="2" t="n"/>
      <c r="H482" s="2" t="n">
        <v>1</v>
      </c>
      <c r="I482" s="3" t="inlineStr">
        <is>
          <t>consilium/policy/tests/test_entities.py</t>
        </is>
      </c>
    </row>
    <row r="483" ht="30" customHeight="1">
      <c r="A483" s="2" t="inlineStr">
        <is>
          <t>P-6</t>
        </is>
      </c>
      <c r="B483" s="3" t="inlineStr">
        <is>
          <t>POL</t>
        </is>
      </c>
      <c r="C483" s="3" t="inlineStr">
        <is>
          <t>consilium_core.tests.test_regulatory_change</t>
        </is>
      </c>
      <c r="D483" s="3" t="inlineStr">
        <is>
          <t>TestRegulatoryChangeFanOut</t>
        </is>
      </c>
      <c r="E483" s="3" t="inlineStr">
        <is>
          <t>test_owners_of_citing_documents_and_forums_are_told_what_changed</t>
        </is>
      </c>
      <c r="F483" s="3" t="inlineStr">
        <is>
          <t>whole class</t>
        </is>
      </c>
      <c r="G483" s="2" t="n">
        <v>6</v>
      </c>
      <c r="H483" s="2" t="n">
        <v>6</v>
      </c>
      <c r="I483" s="3" t="inlineStr">
        <is>
          <t>consilium/consilium_core/tests/test_regulatory_change.py</t>
        </is>
      </c>
    </row>
    <row r="484" ht="30" customHeight="1">
      <c r="A484" s="2" t="inlineStr">
        <is>
          <t>P-6</t>
        </is>
      </c>
      <c r="B484" s="3" t="inlineStr">
        <is>
          <t>POL</t>
        </is>
      </c>
      <c r="C484" s="3" t="inlineStr">
        <is>
          <t>consilium_core.tests.test_regulatory_change</t>
        </is>
      </c>
      <c r="D484" s="3" t="inlineStr">
        <is>
          <t>TestRegulatoryChangeFanOut</t>
        </is>
      </c>
      <c r="E484" s="3" t="inlineStr">
        <is>
          <t>test_a_substantive_change_is_dated</t>
        </is>
      </c>
      <c r="F484" s="3" t="inlineStr">
        <is>
          <t>whole class</t>
        </is>
      </c>
      <c r="G484" s="2" t="n">
        <v>6</v>
      </c>
      <c r="H484" s="2" t="n">
        <v>6</v>
      </c>
      <c r="I484" s="3" t="inlineStr">
        <is>
          <t>consilium/consilium_core/tests/test_regulatory_change.py</t>
        </is>
      </c>
    </row>
    <row r="485" ht="30" customHeight="1">
      <c r="A485" s="2" t="inlineStr">
        <is>
          <t>P-6</t>
        </is>
      </c>
      <c r="B485" s="3" t="inlineStr">
        <is>
          <t>POL</t>
        </is>
      </c>
      <c r="C485" s="3" t="inlineStr">
        <is>
          <t>consilium_core.tests.test_regulatory_change</t>
        </is>
      </c>
      <c r="D485" s="3" t="inlineStr">
        <is>
          <t>TestRegulatoryChangeFanOut</t>
        </is>
      </c>
      <c r="E485" s="3" t="inlineStr">
        <is>
          <t>test_housekeeping_changes_tell_nobody</t>
        </is>
      </c>
      <c r="F485" s="3" t="inlineStr">
        <is>
          <t>whole class</t>
        </is>
      </c>
      <c r="G485" s="2" t="n">
        <v>6</v>
      </c>
      <c r="H485" s="2" t="n">
        <v>6</v>
      </c>
      <c r="I485" s="3" t="inlineStr">
        <is>
          <t>consilium/consilium_core/tests/test_regulatory_change.py</t>
        </is>
      </c>
    </row>
    <row r="486" ht="30" customHeight="1">
      <c r="A486" s="2" t="inlineStr">
        <is>
          <t>P-6</t>
        </is>
      </c>
      <c r="B486" s="3" t="inlineStr">
        <is>
          <t>POL</t>
        </is>
      </c>
      <c r="C486" s="3" t="inlineStr">
        <is>
          <t>consilium_core.tests.test_regulatory_change</t>
        </is>
      </c>
      <c r="D486" s="3" t="inlineStr">
        <is>
          <t>TestRegulatoryChangeFanOut</t>
        </is>
      </c>
      <c r="E486" s="3" t="inlineStr">
        <is>
          <t>test_a_retired_document_is_not_told</t>
        </is>
      </c>
      <c r="F486" s="3" t="inlineStr">
        <is>
          <t>whole class</t>
        </is>
      </c>
      <c r="G486" s="2" t="n">
        <v>6</v>
      </c>
      <c r="H486" s="2" t="n">
        <v>6</v>
      </c>
      <c r="I486" s="3" t="inlineStr">
        <is>
          <t>consilium/consilium_core/tests/test_regulatory_change.py</t>
        </is>
      </c>
    </row>
    <row r="487" ht="30" customHeight="1">
      <c r="A487" s="2" t="inlineStr">
        <is>
          <t>P-6</t>
        </is>
      </c>
      <c r="B487" s="3" t="inlineStr">
        <is>
          <t>POL</t>
        </is>
      </c>
      <c r="C487" s="3" t="inlineStr">
        <is>
          <t>consilium_core.tests.test_regulatory_change</t>
        </is>
      </c>
      <c r="D487" s="3" t="inlineStr">
        <is>
          <t>TestRegulatoryChangeFanOut</t>
        </is>
      </c>
      <c r="E487" s="3" t="inlineStr">
        <is>
          <t>test_a_disbanded_forum_is_not_told</t>
        </is>
      </c>
      <c r="F487" s="3" t="inlineStr">
        <is>
          <t>whole class</t>
        </is>
      </c>
      <c r="G487" s="2" t="n">
        <v>6</v>
      </c>
      <c r="H487" s="2" t="n">
        <v>6</v>
      </c>
      <c r="I487" s="3" t="inlineStr">
        <is>
          <t>consilium/consilium_core/tests/test_regulatory_change.py</t>
        </is>
      </c>
    </row>
    <row r="488" ht="30" customHeight="1">
      <c r="A488" s="2" t="inlineStr">
        <is>
          <t>P-6</t>
        </is>
      </c>
      <c r="B488" s="3" t="inlineStr">
        <is>
          <t>POL</t>
        </is>
      </c>
      <c r="C488" s="3" t="inlineStr">
        <is>
          <t>consilium_core.tests.test_regulatory_change</t>
        </is>
      </c>
      <c r="D488" s="3" t="inlineStr">
        <is>
          <t>TestRegulatoryChangeFanOut</t>
        </is>
      </c>
      <c r="E488" s="3" t="inlineStr">
        <is>
          <t>test_a_notification_failure_does_not_undo_the_edit</t>
        </is>
      </c>
      <c r="F488" s="3" t="inlineStr">
        <is>
          <t>whole class</t>
        </is>
      </c>
      <c r="G488" s="2" t="n">
        <v>6</v>
      </c>
      <c r="H488" s="2" t="n">
        <v>6</v>
      </c>
      <c r="I488" s="3" t="inlineStr">
        <is>
          <t>consilium/consilium_core/tests/test_regulatory_change.py</t>
        </is>
      </c>
    </row>
    <row r="489" ht="17" customHeight="1">
      <c r="A489" s="2" t="inlineStr">
        <is>
          <t>P-6</t>
        </is>
      </c>
      <c r="B489" s="3" t="inlineStr">
        <is>
          <t>POL</t>
        </is>
      </c>
      <c r="C489" s="3" t="inlineStr">
        <is>
          <t>policy.tests.test_wave3</t>
        </is>
      </c>
      <c r="D489" s="3" t="inlineStr">
        <is>
          <t>TestRegulatoryChangeImport</t>
        </is>
      </c>
      <c r="E489" s="3" t="inlineStr">
        <is>
          <t>test_the_profile_is_seeded_and_registered</t>
        </is>
      </c>
      <c r="F489" s="3" t="inlineStr">
        <is>
          <t>whole class</t>
        </is>
      </c>
      <c r="G489" s="2" t="n">
        <v>2</v>
      </c>
      <c r="H489" s="2" t="n">
        <v>2</v>
      </c>
      <c r="I489" s="3" t="inlineStr">
        <is>
          <t>consilium/policy/tests/test_wave3.py</t>
        </is>
      </c>
    </row>
    <row r="490" ht="30" customHeight="1">
      <c r="A490" s="2" t="inlineStr">
        <is>
          <t>P-6</t>
        </is>
      </c>
      <c r="B490" s="3" t="inlineStr">
        <is>
          <t>POL</t>
        </is>
      </c>
      <c r="C490" s="3" t="inlineStr">
        <is>
          <t>policy.tests.test_wave3</t>
        </is>
      </c>
      <c r="D490" s="3" t="inlineStr">
        <is>
          <t>TestRegulatoryChangeImport</t>
        </is>
      </c>
      <c r="E490" s="3" t="inlineStr">
        <is>
          <t>test_a_change_file_updates_what_changed_leaves_blanks_alone_and_tells_the_citers</t>
        </is>
      </c>
      <c r="F490" s="3" t="inlineStr">
        <is>
          <t>whole class</t>
        </is>
      </c>
      <c r="G490" s="2" t="n">
        <v>2</v>
      </c>
      <c r="H490" s="2" t="n">
        <v>2</v>
      </c>
      <c r="I490" s="3" t="inlineStr">
        <is>
          <t>consilium/policy/tests/test_wave3.py</t>
        </is>
      </c>
    </row>
    <row r="491" ht="30" customHeight="1">
      <c r="A491" s="2" t="inlineStr">
        <is>
          <t>P-6</t>
        </is>
      </c>
      <c r="B491" s="3" t="inlineStr">
        <is>
          <t>POL</t>
        </is>
      </c>
      <c r="C491" s="3" t="inlineStr">
        <is>
          <t>consilium_core.tests.test_ai_features</t>
        </is>
      </c>
      <c r="D491" s="3" t="inlineStr">
        <is>
          <t>TestRegulatory</t>
        </is>
      </c>
      <c r="E491" s="3" t="inlineStr">
        <is>
          <t>test_citing_records_and_rule_based_candidates_with_sections</t>
        </is>
      </c>
      <c r="F491" s="3" t="inlineStr">
        <is>
          <t>whole class</t>
        </is>
      </c>
      <c r="G491" s="2" t="n">
        <v>8</v>
      </c>
      <c r="H491" s="2" t="n">
        <v>8</v>
      </c>
      <c r="I491" s="3" t="inlineStr">
        <is>
          <t>consilium/consilium_core/tests/test_ai_features.py</t>
        </is>
      </c>
    </row>
    <row r="492" ht="30" customHeight="1">
      <c r="A492" s="2" t="inlineStr">
        <is>
          <t>P-6</t>
        </is>
      </c>
      <c r="B492" s="3" t="inlineStr">
        <is>
          <t>POL</t>
        </is>
      </c>
      <c r="C492" s="3" t="inlineStr">
        <is>
          <t>consilium_core.tests.test_ai_features</t>
        </is>
      </c>
      <c r="D492" s="3" t="inlineStr">
        <is>
          <t>TestRegulatory</t>
        </is>
      </c>
      <c r="E492" s="3" t="inlineStr">
        <is>
          <t>test_recording_a_change_saves_through_the_controller_and_its_fan_out</t>
        </is>
      </c>
      <c r="F492" s="3" t="inlineStr">
        <is>
          <t>whole class</t>
        </is>
      </c>
      <c r="G492" s="2" t="n">
        <v>8</v>
      </c>
      <c r="H492" s="2" t="n">
        <v>8</v>
      </c>
      <c r="I492" s="3" t="inlineStr">
        <is>
          <t>consilium/consilium_core/tests/test_ai_features.py</t>
        </is>
      </c>
    </row>
    <row r="493" ht="30" customHeight="1">
      <c r="A493" s="2" t="inlineStr">
        <is>
          <t>P-6</t>
        </is>
      </c>
      <c r="B493" s="3" t="inlineStr">
        <is>
          <t>POL</t>
        </is>
      </c>
      <c r="C493" s="3" t="inlineStr">
        <is>
          <t>consilium_core.tests.test_ai_features</t>
        </is>
      </c>
      <c r="D493" s="3" t="inlineStr">
        <is>
          <t>TestRegulatory</t>
        </is>
      </c>
      <c r="E493" s="3" t="inlineStr">
        <is>
          <t>test_a_change_imported_by_file_goes_through_the_same_fan_out</t>
        </is>
      </c>
      <c r="F493" s="3" t="inlineStr">
        <is>
          <t>whole class</t>
        </is>
      </c>
      <c r="G493" s="2" t="n">
        <v>8</v>
      </c>
      <c r="H493" s="2" t="n">
        <v>8</v>
      </c>
      <c r="I493" s="3" t="inlineStr">
        <is>
          <t>consilium/consilium_core/tests/test_ai_features.py</t>
        </is>
      </c>
    </row>
    <row r="494" ht="30" customHeight="1">
      <c r="A494" s="2" t="inlineStr">
        <is>
          <t>P-6</t>
        </is>
      </c>
      <c r="B494" s="3" t="inlineStr">
        <is>
          <t>POL</t>
        </is>
      </c>
      <c r="C494" s="3" t="inlineStr">
        <is>
          <t>consilium_core.tests.test_ai_features</t>
        </is>
      </c>
      <c r="D494" s="3" t="inlineStr">
        <is>
          <t>TestRegulatory</t>
        </is>
      </c>
      <c r="E494" s="3" t="inlineStr">
        <is>
          <t>test_suggestions_are_recorded_and_nothing_is_written_until_a_person_accepts</t>
        </is>
      </c>
      <c r="F494" s="3" t="inlineStr">
        <is>
          <t>whole class</t>
        </is>
      </c>
      <c r="G494" s="2" t="n">
        <v>8</v>
      </c>
      <c r="H494" s="2" t="n">
        <v>8</v>
      </c>
      <c r="I494" s="3" t="inlineStr">
        <is>
          <t>consilium/consilium_core/tests/test_ai_features.py</t>
        </is>
      </c>
    </row>
    <row r="495" ht="17" customHeight="1">
      <c r="A495" s="2" t="inlineStr">
        <is>
          <t>P-6</t>
        </is>
      </c>
      <c r="B495" s="3" t="inlineStr">
        <is>
          <t>POL</t>
        </is>
      </c>
      <c r="C495" s="3" t="inlineStr">
        <is>
          <t>consilium_core.tests.test_ai_features</t>
        </is>
      </c>
      <c r="D495" s="3" t="inlineStr">
        <is>
          <t>TestRegulatory</t>
        </is>
      </c>
      <c r="E495" s="3" t="inlineStr">
        <is>
          <t>test_a_rejection_is_recorded_and_writes_nothing</t>
        </is>
      </c>
      <c r="F495" s="3" t="inlineStr">
        <is>
          <t>whole class</t>
        </is>
      </c>
      <c r="G495" s="2" t="n">
        <v>8</v>
      </c>
      <c r="H495" s="2" t="n">
        <v>8</v>
      </c>
      <c r="I495" s="3" t="inlineStr">
        <is>
          <t>consilium/consilium_core/tests/test_ai_features.py</t>
        </is>
      </c>
    </row>
    <row r="496" ht="17" customHeight="1">
      <c r="A496" s="2" t="inlineStr">
        <is>
          <t>P-6</t>
        </is>
      </c>
      <c r="B496" s="3" t="inlineStr">
        <is>
          <t>POL</t>
        </is>
      </c>
      <c r="C496" s="3" t="inlineStr">
        <is>
          <t>consilium_core.tests.test_ai_features</t>
        </is>
      </c>
      <c r="D496" s="3" t="inlineStr">
        <is>
          <t>TestRegulatory</t>
        </is>
      </c>
      <c r="E496" s="3" t="inlineStr">
        <is>
          <t>test_only_someone_who_may_change_the_document_may_decide</t>
        </is>
      </c>
      <c r="F496" s="3" t="inlineStr">
        <is>
          <t>whole class</t>
        </is>
      </c>
      <c r="G496" s="2" t="n">
        <v>8</v>
      </c>
      <c r="H496" s="2" t="n">
        <v>8</v>
      </c>
      <c r="I496" s="3" t="inlineStr">
        <is>
          <t>consilium/consilium_core/tests/test_ai_features.py</t>
        </is>
      </c>
    </row>
    <row r="497" ht="17" customHeight="1">
      <c r="A497" s="2" t="inlineStr">
        <is>
          <t>P-6</t>
        </is>
      </c>
      <c r="B497" s="3" t="inlineStr">
        <is>
          <t>POL</t>
        </is>
      </c>
      <c r="C497" s="3" t="inlineStr">
        <is>
          <t>consilium_core.tests.test_ai_features</t>
        </is>
      </c>
      <c r="D497" s="3" t="inlineStr">
        <is>
          <t>TestRegulatory</t>
        </is>
      </c>
      <c r="E497" s="3" t="inlineStr">
        <is>
          <t>test_an_answer_that_is_not_json_is_not_shown</t>
        </is>
      </c>
      <c r="F497" s="3" t="inlineStr">
        <is>
          <t>whole class</t>
        </is>
      </c>
      <c r="G497" s="2" t="n">
        <v>8</v>
      </c>
      <c r="H497" s="2" t="n">
        <v>8</v>
      </c>
      <c r="I497" s="3" t="inlineStr">
        <is>
          <t>consilium/consilium_core/tests/test_ai_features.py</t>
        </is>
      </c>
    </row>
    <row r="498" ht="17" customHeight="1">
      <c r="A498" s="2" t="inlineStr">
        <is>
          <t>P-6</t>
        </is>
      </c>
      <c r="B498" s="3" t="inlineStr">
        <is>
          <t>POL</t>
        </is>
      </c>
      <c r="C498" s="3" t="inlineStr">
        <is>
          <t>consilium_core.tests.test_ai_features</t>
        </is>
      </c>
      <c r="D498" s="3" t="inlineStr">
        <is>
          <t>TestRegulatory</t>
        </is>
      </c>
      <c r="E498" s="3" t="inlineStr">
        <is>
          <t>test_openai_compatible_gateway</t>
        </is>
      </c>
      <c r="F498" s="3" t="inlineStr">
        <is>
          <t>whole class</t>
        </is>
      </c>
      <c r="G498" s="2" t="n">
        <v>8</v>
      </c>
      <c r="H498" s="2" t="n">
        <v>8</v>
      </c>
      <c r="I498" s="3" t="inlineStr">
        <is>
          <t>consilium/consilium_core/tests/test_ai_features.py</t>
        </is>
      </c>
    </row>
    <row r="499" ht="17" customHeight="1">
      <c r="A499" s="2" t="inlineStr">
        <is>
          <t>P-6</t>
        </is>
      </c>
      <c r="B499" s="3" t="inlineStr">
        <is>
          <t>POL</t>
        </is>
      </c>
      <c r="C499" s="3" t="inlineStr">
        <is>
          <t>policy.tests.test_repository</t>
        </is>
      </c>
      <c r="D499" s="3" t="inlineStr">
        <is>
          <t>TestGoverningDocument</t>
        </is>
      </c>
      <c r="E499" s="3" t="inlineStr">
        <is>
          <t>test_regulatory_flag_requires_a_reference</t>
        </is>
      </c>
      <c r="F499" s="3" t="inlineStr">
        <is>
          <t>named method</t>
        </is>
      </c>
      <c r="G499" s="2" t="n"/>
      <c r="H499" s="2" t="n">
        <v>1</v>
      </c>
      <c r="I499" s="3" t="inlineStr">
        <is>
          <t>consilium/policy/tests/test_repository.py</t>
        </is>
      </c>
    </row>
    <row r="500" ht="17" customHeight="1">
      <c r="A500" s="2" t="inlineStr">
        <is>
          <t>P-7</t>
        </is>
      </c>
      <c r="B500" s="3" t="inlineStr">
        <is>
          <t>POL</t>
        </is>
      </c>
      <c r="C500" s="3" t="inlineStr">
        <is>
          <t>policy.tests.test_lifecycle</t>
        </is>
      </c>
      <c r="D500" s="3" t="inlineStr">
        <is>
          <t>TestLifecycleConfiguration</t>
        </is>
      </c>
      <c r="E500" s="3" t="inlineStr">
        <is>
          <t>test_the_lifecycle_is_configuration</t>
        </is>
      </c>
      <c r="F500" s="3" t="inlineStr">
        <is>
          <t>whole class</t>
        </is>
      </c>
      <c r="G500" s="2" t="n">
        <v>5</v>
      </c>
      <c r="H500" s="2" t="n">
        <v>5</v>
      </c>
      <c r="I500" s="3" t="inlineStr">
        <is>
          <t>consilium/policy/tests/test_lifecycle.py</t>
        </is>
      </c>
    </row>
    <row r="501" ht="17" customHeight="1">
      <c r="A501" s="2" t="inlineStr">
        <is>
          <t>P-7</t>
        </is>
      </c>
      <c r="B501" s="3" t="inlineStr">
        <is>
          <t>POL</t>
        </is>
      </c>
      <c r="C501" s="3" t="inlineStr">
        <is>
          <t>policy.tests.test_lifecycle</t>
        </is>
      </c>
      <c r="D501" s="3" t="inlineStr">
        <is>
          <t>TestLifecycleConfiguration</t>
        </is>
      </c>
      <c r="E501" s="3" t="inlineStr">
        <is>
          <t>test_available_actions_come_from_configuration</t>
        </is>
      </c>
      <c r="F501" s="3" t="inlineStr">
        <is>
          <t>whole class</t>
        </is>
      </c>
      <c r="G501" s="2" t="n">
        <v>5</v>
      </c>
      <c r="H501" s="2" t="n">
        <v>5</v>
      </c>
      <c r="I501" s="3" t="inlineStr">
        <is>
          <t>consilium/policy/tests/test_lifecycle.py</t>
        </is>
      </c>
    </row>
    <row r="502" ht="17" customHeight="1">
      <c r="A502" s="2" t="inlineStr">
        <is>
          <t>P-7</t>
        </is>
      </c>
      <c r="B502" s="3" t="inlineStr">
        <is>
          <t>POL</t>
        </is>
      </c>
      <c r="C502" s="3" t="inlineStr">
        <is>
          <t>policy.tests.test_lifecycle</t>
        </is>
      </c>
      <c r="D502" s="3" t="inlineStr">
        <is>
          <t>TestLifecycleConfiguration</t>
        </is>
      </c>
      <c r="E502" s="3" t="inlineStr">
        <is>
          <t>test_an_unconfigured_action_is_refused</t>
        </is>
      </c>
      <c r="F502" s="3" t="inlineStr">
        <is>
          <t>whole class</t>
        </is>
      </c>
      <c r="G502" s="2" t="n">
        <v>5</v>
      </c>
      <c r="H502" s="2" t="n">
        <v>5</v>
      </c>
      <c r="I502" s="3" t="inlineStr">
        <is>
          <t>consilium/policy/tests/test_lifecycle.py</t>
        </is>
      </c>
    </row>
    <row r="503" ht="17" customHeight="1">
      <c r="A503" s="2" t="inlineStr">
        <is>
          <t>P-7</t>
        </is>
      </c>
      <c r="B503" s="3" t="inlineStr">
        <is>
          <t>POL</t>
        </is>
      </c>
      <c r="C503" s="3" t="inlineStr">
        <is>
          <t>policy.tests.test_lifecycle</t>
        </is>
      </c>
      <c r="D503" s="3" t="inlineStr">
        <is>
          <t>TestLifecycleConfiguration</t>
        </is>
      </c>
      <c r="E503" s="3" t="inlineStr">
        <is>
          <t>test_a_gate_must_name_an_implemented_check</t>
        </is>
      </c>
      <c r="F503" s="3" t="inlineStr">
        <is>
          <t>whole class</t>
        </is>
      </c>
      <c r="G503" s="2" t="n">
        <v>5</v>
      </c>
      <c r="H503" s="2" t="n">
        <v>5</v>
      </c>
      <c r="I503" s="3" t="inlineStr">
        <is>
          <t>consilium/policy/tests/test_lifecycle.py</t>
        </is>
      </c>
    </row>
    <row r="504" ht="17" customHeight="1">
      <c r="A504" s="2" t="inlineStr">
        <is>
          <t>P-7</t>
        </is>
      </c>
      <c r="B504" s="3" t="inlineStr">
        <is>
          <t>POL</t>
        </is>
      </c>
      <c r="C504" s="3" t="inlineStr">
        <is>
          <t>policy.tests.test_lifecycle</t>
        </is>
      </c>
      <c r="D504" s="3" t="inlineStr">
        <is>
          <t>TestLifecycleConfiguration</t>
        </is>
      </c>
      <c r="E504" s="3" t="inlineStr">
        <is>
          <t>test_the_publication_gates_are_configured</t>
        </is>
      </c>
      <c r="F504" s="3" t="inlineStr">
        <is>
          <t>whole class</t>
        </is>
      </c>
      <c r="G504" s="2" t="n">
        <v>5</v>
      </c>
      <c r="H504" s="2" t="n">
        <v>5</v>
      </c>
      <c r="I504" s="3" t="inlineStr">
        <is>
          <t>consilium/policy/tests/test_lifecycle.py</t>
        </is>
      </c>
    </row>
    <row r="505" ht="17" customHeight="1">
      <c r="A505" s="2" t="inlineStr">
        <is>
          <t>P-7</t>
        </is>
      </c>
      <c r="B505" s="3" t="inlineStr">
        <is>
          <t>POL</t>
        </is>
      </c>
      <c r="C505" s="3" t="inlineStr">
        <is>
          <t>policy.tests.test_lifecycle</t>
        </is>
      </c>
      <c r="D505" s="3" t="inlineStr">
        <is>
          <t>TestApprovalRouting</t>
        </is>
      </c>
      <c r="E505" s="3" t="inlineStr">
        <is>
          <t>test_a_major_change_routes_through_three_approvals</t>
        </is>
      </c>
      <c r="F505" s="3" t="inlineStr">
        <is>
          <t>whole class</t>
        </is>
      </c>
      <c r="G505" s="2" t="n">
        <v>7</v>
      </c>
      <c r="H505" s="2" t="n">
        <v>7</v>
      </c>
      <c r="I505" s="3" t="inlineStr">
        <is>
          <t>consilium/policy/tests/test_lifecycle.py</t>
        </is>
      </c>
    </row>
    <row r="506" ht="17" customHeight="1">
      <c r="A506" s="2" t="inlineStr">
        <is>
          <t>P-7</t>
        </is>
      </c>
      <c r="B506" s="3" t="inlineStr">
        <is>
          <t>POL</t>
        </is>
      </c>
      <c r="C506" s="3" t="inlineStr">
        <is>
          <t>policy.tests.test_lifecycle</t>
        </is>
      </c>
      <c r="D506" s="3" t="inlineStr">
        <is>
          <t>TestApprovalRouting</t>
        </is>
      </c>
      <c r="E506" s="3" t="inlineStr">
        <is>
          <t>test_a_minor_change_routes_through_one</t>
        </is>
      </c>
      <c r="F506" s="3" t="inlineStr">
        <is>
          <t>whole class</t>
        </is>
      </c>
      <c r="G506" s="2" t="n">
        <v>7</v>
      </c>
      <c r="H506" s="2" t="n">
        <v>7</v>
      </c>
      <c r="I506" s="3" t="inlineStr">
        <is>
          <t>consilium/policy/tests/test_lifecycle.py</t>
        </is>
      </c>
    </row>
    <row r="507" ht="30" customHeight="1">
      <c r="A507" s="2" t="inlineStr">
        <is>
          <t>P-7</t>
        </is>
      </c>
      <c r="B507" s="3" t="inlineStr">
        <is>
          <t>POL</t>
        </is>
      </c>
      <c r="C507" s="3" t="inlineStr">
        <is>
          <t>policy.tests.test_lifecycle</t>
        </is>
      </c>
      <c r="D507" s="3" t="inlineStr">
        <is>
          <t>TestApprovalRouting</t>
        </is>
      </c>
      <c r="E507" s="3" t="inlineStr">
        <is>
          <t>test_an_unclassified_document_takes_the_conservative_default</t>
        </is>
      </c>
      <c r="F507" s="3" t="inlineStr">
        <is>
          <t>whole class</t>
        </is>
      </c>
      <c r="G507" s="2" t="n">
        <v>7</v>
      </c>
      <c r="H507" s="2" t="n">
        <v>7</v>
      </c>
      <c r="I507" s="3" t="inlineStr">
        <is>
          <t>consilium/policy/tests/test_lifecycle.py</t>
        </is>
      </c>
    </row>
    <row r="508" ht="17" customHeight="1">
      <c r="A508" s="2" t="inlineStr">
        <is>
          <t>P-7</t>
        </is>
      </c>
      <c r="B508" s="3" t="inlineStr">
        <is>
          <t>POL</t>
        </is>
      </c>
      <c r="C508" s="3" t="inlineStr">
        <is>
          <t>policy.tests.test_lifecycle</t>
        </is>
      </c>
      <c r="D508" s="3" t="inlineStr">
        <is>
          <t>TestApprovalRouting</t>
        </is>
      </c>
      <c r="E508" s="3" t="inlineStr">
        <is>
          <t>test_the_path_is_visible_before_submission</t>
        </is>
      </c>
      <c r="F508" s="3" t="inlineStr">
        <is>
          <t>whole class</t>
        </is>
      </c>
      <c r="G508" s="2" t="n">
        <v>7</v>
      </c>
      <c r="H508" s="2" t="n">
        <v>7</v>
      </c>
      <c r="I508" s="3" t="inlineStr">
        <is>
          <t>consilium/policy/tests/test_lifecycle.py</t>
        </is>
      </c>
    </row>
    <row r="509" ht="17" customHeight="1">
      <c r="A509" s="2" t="inlineStr">
        <is>
          <t>P-7</t>
        </is>
      </c>
      <c r="B509" s="3" t="inlineStr">
        <is>
          <t>POL</t>
        </is>
      </c>
      <c r="C509" s="3" t="inlineStr">
        <is>
          <t>policy.tests.test_lifecycle</t>
        </is>
      </c>
      <c r="D509" s="3" t="inlineStr">
        <is>
          <t>TestApprovalRouting</t>
        </is>
      </c>
      <c r="E509" s="3" t="inlineStr">
        <is>
          <t>test_routing_is_configuration</t>
        </is>
      </c>
      <c r="F509" s="3" t="inlineStr">
        <is>
          <t>whole class</t>
        </is>
      </c>
      <c r="G509" s="2" t="n">
        <v>7</v>
      </c>
      <c r="H509" s="2" t="n">
        <v>7</v>
      </c>
      <c r="I509" s="3" t="inlineStr">
        <is>
          <t>consilium/policy/tests/test_lifecycle.py</t>
        </is>
      </c>
    </row>
    <row r="510" ht="17" customHeight="1">
      <c r="A510" s="2" t="inlineStr">
        <is>
          <t>P-7</t>
        </is>
      </c>
      <c r="B510" s="3" t="inlineStr">
        <is>
          <t>POL</t>
        </is>
      </c>
      <c r="C510" s="3" t="inlineStr">
        <is>
          <t>policy.tests.test_lifecycle</t>
        </is>
      </c>
      <c r="D510" s="3" t="inlineStr">
        <is>
          <t>TestApprovalRouting</t>
        </is>
      </c>
      <c r="E510" s="3" t="inlineStr">
        <is>
          <t>test_a_route_with_duplicate_step_names_is_refused</t>
        </is>
      </c>
      <c r="F510" s="3" t="inlineStr">
        <is>
          <t>whole class</t>
        </is>
      </c>
      <c r="G510" s="2" t="n">
        <v>7</v>
      </c>
      <c r="H510" s="2" t="n">
        <v>7</v>
      </c>
      <c r="I510" s="3" t="inlineStr">
        <is>
          <t>consilium/policy/tests/test_lifecycle.py</t>
        </is>
      </c>
    </row>
    <row r="511" ht="30" customHeight="1">
      <c r="A511" s="2" t="inlineStr">
        <is>
          <t>P-7</t>
        </is>
      </c>
      <c r="B511" s="3" t="inlineStr">
        <is>
          <t>POL</t>
        </is>
      </c>
      <c r="C511" s="3" t="inlineStr">
        <is>
          <t>policy.tests.test_lifecycle</t>
        </is>
      </c>
      <c r="D511" s="3" t="inlineStr">
        <is>
          <t>TestApprovalRouting</t>
        </is>
      </c>
      <c r="E511" s="3" t="inlineStr">
        <is>
          <t>test_instantiating_a_route_twice_does_not_duplicate_decisions</t>
        </is>
      </c>
      <c r="F511" s="3" t="inlineStr">
        <is>
          <t>whole class</t>
        </is>
      </c>
      <c r="G511" s="2" t="n">
        <v>7</v>
      </c>
      <c r="H511" s="2" t="n">
        <v>7</v>
      </c>
      <c r="I511" s="3" t="inlineStr">
        <is>
          <t>consilium/policy/tests/test_lifecycle.py</t>
        </is>
      </c>
    </row>
    <row r="512" ht="30" customHeight="1">
      <c r="A512" s="2" t="inlineStr">
        <is>
          <t>P-7</t>
        </is>
      </c>
      <c r="B512" s="3" t="inlineStr">
        <is>
          <t>POL</t>
        </is>
      </c>
      <c r="C512" s="3" t="inlineStr">
        <is>
          <t>policy.tests.test_w3_state_phase</t>
        </is>
      </c>
      <c r="D512" s="3" t="inlineStr">
        <is>
          <t>TestDerivedPhase</t>
        </is>
      </c>
      <c r="E512" s="3" t="inlineStr">
        <is>
          <t>test_before_the_switch_the_new_state_is_refused_as_the_guides_found</t>
        </is>
      </c>
      <c r="F512" s="3" t="inlineStr">
        <is>
          <t>whole class</t>
        </is>
      </c>
      <c r="G512" s="2" t="n">
        <v>7</v>
      </c>
      <c r="H512" s="2" t="n">
        <v>7</v>
      </c>
      <c r="I512" s="3" t="inlineStr">
        <is>
          <t>consilium/policy/tests/test_w3_state_phase.py</t>
        </is>
      </c>
    </row>
    <row r="513" ht="17" customHeight="1">
      <c r="A513" s="2" t="inlineStr">
        <is>
          <t>P-7</t>
        </is>
      </c>
      <c r="B513" s="3" t="inlineStr">
        <is>
          <t>POL</t>
        </is>
      </c>
      <c r="C513" s="3" t="inlineStr">
        <is>
          <t>policy.tests.test_w3_state_phase</t>
        </is>
      </c>
      <c r="D513" s="3" t="inlineStr">
        <is>
          <t>TestDerivedPhase</t>
        </is>
      </c>
      <c r="E513" s="3" t="inlineStr">
        <is>
          <t>test_switching_moves_no_document</t>
        </is>
      </c>
      <c r="F513" s="3" t="inlineStr">
        <is>
          <t>whole class</t>
        </is>
      </c>
      <c r="G513" s="2" t="n">
        <v>7</v>
      </c>
      <c r="H513" s="2" t="n">
        <v>7</v>
      </c>
      <c r="I513" s="3" t="inlineStr">
        <is>
          <t>consilium/policy/tests/test_w3_state_phase.py</t>
        </is>
      </c>
    </row>
    <row r="514" ht="17" customHeight="1">
      <c r="A514" s="2" t="inlineStr">
        <is>
          <t>P-7</t>
        </is>
      </c>
      <c r="B514" s="3" t="inlineStr">
        <is>
          <t>POL</t>
        </is>
      </c>
      <c r="C514" s="3" t="inlineStr">
        <is>
          <t>policy.tests.test_w3_state_phase</t>
        </is>
      </c>
      <c r="D514" s="3" t="inlineStr">
        <is>
          <t>TestDerivedPhase</t>
        </is>
      </c>
      <c r="E514" s="3" t="inlineStr">
        <is>
          <t>test_a_new_state_is_a_workflow_row_and_a_flag_row</t>
        </is>
      </c>
      <c r="F514" s="3" t="inlineStr">
        <is>
          <t>whole class</t>
        </is>
      </c>
      <c r="G514" s="2" t="n">
        <v>7</v>
      </c>
      <c r="H514" s="2" t="n">
        <v>7</v>
      </c>
      <c r="I514" s="3" t="inlineStr">
        <is>
          <t>consilium/policy/tests/test_w3_state_phase.py</t>
        </is>
      </c>
    </row>
    <row r="515" ht="17" customHeight="1">
      <c r="A515" s="2" t="inlineStr">
        <is>
          <t>P-7</t>
        </is>
      </c>
      <c r="B515" s="3" t="inlineStr">
        <is>
          <t>POL</t>
        </is>
      </c>
      <c r="C515" s="3" t="inlineStr">
        <is>
          <t>policy.tests.test_w3_state_phase</t>
        </is>
      </c>
      <c r="D515" s="3" t="inlineStr">
        <is>
          <t>TestDerivedPhase</t>
        </is>
      </c>
      <c r="E515" s="3" t="inlineStr">
        <is>
          <t>test_gates_are_asked_of_the_phase_a_state_belongs_to</t>
        </is>
      </c>
      <c r="F515" s="3" t="inlineStr">
        <is>
          <t>whole class</t>
        </is>
      </c>
      <c r="G515" s="2" t="n">
        <v>7</v>
      </c>
      <c r="H515" s="2" t="n">
        <v>7</v>
      </c>
      <c r="I515" s="3" t="inlineStr">
        <is>
          <t>consilium/policy/tests/test_w3_state_phase.py</t>
        </is>
      </c>
    </row>
    <row r="516" ht="17" customHeight="1">
      <c r="A516" s="2" t="inlineStr">
        <is>
          <t>P-7</t>
        </is>
      </c>
      <c r="B516" s="3" t="inlineStr">
        <is>
          <t>POL</t>
        </is>
      </c>
      <c r="C516" s="3" t="inlineStr">
        <is>
          <t>policy.tests.test_w3_state_phase</t>
        </is>
      </c>
      <c r="D516" s="3" t="inlineStr">
        <is>
          <t>TestDerivedPhase</t>
        </is>
      </c>
      <c r="E516" s="3" t="inlineStr">
        <is>
          <t>test_the_phase_cannot_be_written_past_its_state</t>
        </is>
      </c>
      <c r="F516" s="3" t="inlineStr">
        <is>
          <t>whole class</t>
        </is>
      </c>
      <c r="G516" s="2" t="n">
        <v>7</v>
      </c>
      <c r="H516" s="2" t="n">
        <v>7</v>
      </c>
      <c r="I516" s="3" t="inlineStr">
        <is>
          <t>consilium/policy/tests/test_w3_state_phase.py</t>
        </is>
      </c>
    </row>
    <row r="517" ht="17" customHeight="1">
      <c r="A517" s="2" t="inlineStr">
        <is>
          <t>P-7</t>
        </is>
      </c>
      <c r="B517" s="3" t="inlineStr">
        <is>
          <t>POL</t>
        </is>
      </c>
      <c r="C517" s="3" t="inlineStr">
        <is>
          <t>policy.tests.test_w3_state_phase</t>
        </is>
      </c>
      <c r="D517" s="3" t="inlineStr">
        <is>
          <t>TestDerivedPhase</t>
        </is>
      </c>
      <c r="E517" s="3" t="inlineStr">
        <is>
          <t>test_a_state_whose_flag_row_names_no_phase_is_refused</t>
        </is>
      </c>
      <c r="F517" s="3" t="inlineStr">
        <is>
          <t>whole class</t>
        </is>
      </c>
      <c r="G517" s="2" t="n">
        <v>7</v>
      </c>
      <c r="H517" s="2" t="n">
        <v>7</v>
      </c>
      <c r="I517" s="3" t="inlineStr">
        <is>
          <t>consilium/policy/tests/test_w3_state_phase.py</t>
        </is>
      </c>
    </row>
    <row r="518" ht="17" customHeight="1">
      <c r="A518" s="2" t="inlineStr">
        <is>
          <t>P-7</t>
        </is>
      </c>
      <c r="B518" s="3" t="inlineStr">
        <is>
          <t>POL</t>
        </is>
      </c>
      <c r="C518" s="3" t="inlineStr">
        <is>
          <t>policy.tests.test_w3_state_phase</t>
        </is>
      </c>
      <c r="D518" s="3" t="inlineStr">
        <is>
          <t>TestDerivedPhase</t>
        </is>
      </c>
      <c r="E518" s="3" t="inlineStr">
        <is>
          <t>test_a_misspelt_phase_is_refused_where_it_is_typed</t>
        </is>
      </c>
      <c r="F518" s="3" t="inlineStr">
        <is>
          <t>whole class</t>
        </is>
      </c>
      <c r="G518" s="2" t="n">
        <v>7</v>
      </c>
      <c r="H518" s="2" t="n">
        <v>7</v>
      </c>
      <c r="I518" s="3" t="inlineStr">
        <is>
          <t>consilium/policy/tests/test_w3_state_phase.py</t>
        </is>
      </c>
    </row>
    <row r="519" ht="17" customHeight="1">
      <c r="A519" s="2" t="inlineStr">
        <is>
          <t>P-7</t>
        </is>
      </c>
      <c r="B519" s="3" t="inlineStr">
        <is>
          <t>POL</t>
        </is>
      </c>
      <c r="C519" s="3" t="inlineStr">
        <is>
          <t>consilium_core.tests.test_sla_measures</t>
        </is>
      </c>
      <c r="D519" s="3" t="inlineStr">
        <is>
          <t>TestGoverningDocumentSteps</t>
        </is>
      </c>
      <c r="E519" s="3" t="inlineStr">
        <is>
          <t>test_a_lifecycle_step_is_timed_from_entry_to_exit</t>
        </is>
      </c>
      <c r="F519" s="3" t="inlineStr">
        <is>
          <t>whole class</t>
        </is>
      </c>
      <c r="G519" s="2" t="n">
        <v>1</v>
      </c>
      <c r="H519" s="2" t="n">
        <v>1</v>
      </c>
      <c r="I519" s="3" t="inlineStr">
        <is>
          <t>consilium/consilium_core/tests/test_sla_measures.py</t>
        </is>
      </c>
    </row>
    <row r="520" ht="17" customHeight="1">
      <c r="A520" s="2" t="inlineStr">
        <is>
          <t>P-7</t>
        </is>
      </c>
      <c r="B520" s="3" t="inlineStr">
        <is>
          <t>POL</t>
        </is>
      </c>
      <c r="C520" s="3" t="inlineStr">
        <is>
          <t>consilium_core.tests.test_sla_measures</t>
        </is>
      </c>
      <c r="D520" s="3" t="inlineStr">
        <is>
          <t>TestWarningsAndBreaches</t>
        </is>
      </c>
      <c r="E520" s="3" t="inlineStr">
        <is>
          <t>test_a_clock_past_its_threshold_warns_once</t>
        </is>
      </c>
      <c r="F520" s="3" t="inlineStr">
        <is>
          <t>whole class</t>
        </is>
      </c>
      <c r="G520" s="2" t="n">
        <v>7</v>
      </c>
      <c r="H520" s="2" t="n">
        <v>7</v>
      </c>
      <c r="I520" s="3" t="inlineStr">
        <is>
          <t>consilium/consilium_core/tests/test_sla_measures.py</t>
        </is>
      </c>
    </row>
    <row r="521" ht="17" customHeight="1">
      <c r="A521" s="2" t="inlineStr">
        <is>
          <t>P-7</t>
        </is>
      </c>
      <c r="B521" s="3" t="inlineStr">
        <is>
          <t>POL</t>
        </is>
      </c>
      <c r="C521" s="3" t="inlineStr">
        <is>
          <t>consilium_core.tests.test_sla_measures</t>
        </is>
      </c>
      <c r="D521" s="3" t="inlineStr">
        <is>
          <t>TestWarningsAndBreaches</t>
        </is>
      </c>
      <c r="E521" s="3" t="inlineStr">
        <is>
          <t>test_a_clock_below_its_threshold_is_quiet</t>
        </is>
      </c>
      <c r="F521" s="3" t="inlineStr">
        <is>
          <t>whole class</t>
        </is>
      </c>
      <c r="G521" s="2" t="n">
        <v>7</v>
      </c>
      <c r="H521" s="2" t="n">
        <v>7</v>
      </c>
      <c r="I521" s="3" t="inlineStr">
        <is>
          <t>consilium/consilium_core/tests/test_sla_measures.py</t>
        </is>
      </c>
    </row>
    <row r="522" ht="17" customHeight="1">
      <c r="A522" s="2" t="inlineStr">
        <is>
          <t>P-7</t>
        </is>
      </c>
      <c r="B522" s="3" t="inlineStr">
        <is>
          <t>POL</t>
        </is>
      </c>
      <c r="C522" s="3" t="inlineStr">
        <is>
          <t>consilium_core.tests.test_sla_measures</t>
        </is>
      </c>
      <c r="D522" s="3" t="inlineStr">
        <is>
          <t>TestWarningsAndBreaches</t>
        </is>
      </c>
      <c r="E522" s="3" t="inlineStr">
        <is>
          <t>test_no_threshold_means_no_warning</t>
        </is>
      </c>
      <c r="F522" s="3" t="inlineStr">
        <is>
          <t>whole class</t>
        </is>
      </c>
      <c r="G522" s="2" t="n">
        <v>7</v>
      </c>
      <c r="H522" s="2" t="n">
        <v>7</v>
      </c>
      <c r="I522" s="3" t="inlineStr">
        <is>
          <t>consilium/consilium_core/tests/test_sla_measures.py</t>
        </is>
      </c>
    </row>
    <row r="523" ht="17" customHeight="1">
      <c r="A523" s="2" t="inlineStr">
        <is>
          <t>P-7</t>
        </is>
      </c>
      <c r="B523" s="3" t="inlineStr">
        <is>
          <t>POL</t>
        </is>
      </c>
      <c r="C523" s="3" t="inlineStr">
        <is>
          <t>consilium_core.tests.test_sla_measures</t>
        </is>
      </c>
      <c r="D523" s="3" t="inlineStr">
        <is>
          <t>TestWarningsAndBreaches</t>
        </is>
      </c>
      <c r="E523" s="3" t="inlineStr">
        <is>
          <t>test_a_breach_is_recorded_and_announced_once</t>
        </is>
      </c>
      <c r="F523" s="3" t="inlineStr">
        <is>
          <t>whole class</t>
        </is>
      </c>
      <c r="G523" s="2" t="n">
        <v>7</v>
      </c>
      <c r="H523" s="2" t="n">
        <v>7</v>
      </c>
      <c r="I523" s="3" t="inlineStr">
        <is>
          <t>consilium/consilium_core/tests/test_sla_measures.py</t>
        </is>
      </c>
    </row>
    <row r="524" ht="17" customHeight="1">
      <c r="A524" s="2" t="inlineStr">
        <is>
          <t>P-7</t>
        </is>
      </c>
      <c r="B524" s="3" t="inlineStr">
        <is>
          <t>POL</t>
        </is>
      </c>
      <c r="C524" s="3" t="inlineStr">
        <is>
          <t>consilium_core.tests.test_sla_measures</t>
        </is>
      </c>
      <c r="D524" s="3" t="inlineStr">
        <is>
          <t>TestWarningsAndBreaches</t>
        </is>
      </c>
      <c r="E524" s="3" t="inlineStr">
        <is>
          <t>test_escalation_matters_are_not_told_twice_about_a_breach</t>
        </is>
      </c>
      <c r="F524" s="3" t="inlineStr">
        <is>
          <t>whole class</t>
        </is>
      </c>
      <c r="G524" s="2" t="n">
        <v>7</v>
      </c>
      <c r="H524" s="2" t="n">
        <v>7</v>
      </c>
      <c r="I524" s="3" t="inlineStr">
        <is>
          <t>consilium/consilium_core/tests/test_sla_measures.py</t>
        </is>
      </c>
    </row>
    <row r="525" ht="17" customHeight="1">
      <c r="A525" s="2" t="inlineStr">
        <is>
          <t>P-7</t>
        </is>
      </c>
      <c r="B525" s="3" t="inlineStr">
        <is>
          <t>POL</t>
        </is>
      </c>
      <c r="C525" s="3" t="inlineStr">
        <is>
          <t>consilium_core.tests.test_sla_measures</t>
        </is>
      </c>
      <c r="D525" s="3" t="inlineStr">
        <is>
          <t>TestWarningsAndBreaches</t>
        </is>
      </c>
      <c r="E525" s="3" t="inlineStr">
        <is>
          <t>test_stopping_a_breached_clock_keeps_when_it_breached</t>
        </is>
      </c>
      <c r="F525" s="3" t="inlineStr">
        <is>
          <t>whole class</t>
        </is>
      </c>
      <c r="G525" s="2" t="n">
        <v>7</v>
      </c>
      <c r="H525" s="2" t="n">
        <v>7</v>
      </c>
      <c r="I525" s="3" t="inlineStr">
        <is>
          <t>consilium/consilium_core/tests/test_sla_measures.py</t>
        </is>
      </c>
    </row>
    <row r="526" ht="17" customHeight="1">
      <c r="A526" s="2" t="inlineStr">
        <is>
          <t>P-7</t>
        </is>
      </c>
      <c r="B526" s="3" t="inlineStr">
        <is>
          <t>POL</t>
        </is>
      </c>
      <c r="C526" s="3" t="inlineStr">
        <is>
          <t>consilium_core.tests.test_sla_measures</t>
        </is>
      </c>
      <c r="D526" s="3" t="inlineStr">
        <is>
          <t>TestWarningsAndBreaches</t>
        </is>
      </c>
      <c r="E526" s="3" t="inlineStr">
        <is>
          <t>test_a_notification_failure_does_not_stop_the_sweep</t>
        </is>
      </c>
      <c r="F526" s="3" t="inlineStr">
        <is>
          <t>whole class</t>
        </is>
      </c>
      <c r="G526" s="2" t="n">
        <v>7</v>
      </c>
      <c r="H526" s="2" t="n">
        <v>7</v>
      </c>
      <c r="I526" s="3" t="inlineStr">
        <is>
          <t>consilium/consilium_core/tests/test_sla_measures.py</t>
        </is>
      </c>
    </row>
    <row r="527" ht="30" customHeight="1">
      <c r="A527" s="2" t="inlineStr">
        <is>
          <t>P-7</t>
        </is>
      </c>
      <c r="B527" s="3" t="inlineStr">
        <is>
          <t>POL</t>
        </is>
      </c>
      <c r="C527" s="3" t="inlineStr">
        <is>
          <t>policy.tests.test_intake</t>
        </is>
      </c>
      <c r="D527" s="3" t="inlineStr">
        <is>
          <t>TestClassificationDrivesRoutingAndService</t>
        </is>
      </c>
      <c r="E527" s="3" t="inlineStr">
        <is>
          <t>test_a_major_classification_selects_the_major_route</t>
        </is>
      </c>
      <c r="F527" s="3" t="inlineStr">
        <is>
          <t>whole class</t>
        </is>
      </c>
      <c r="G527" s="2" t="n">
        <v>5</v>
      </c>
      <c r="H527" s="2" t="n">
        <v>5</v>
      </c>
      <c r="I527" s="3" t="inlineStr">
        <is>
          <t>consilium/policy/tests/test_intake.py</t>
        </is>
      </c>
    </row>
    <row r="528" ht="30" customHeight="1">
      <c r="A528" s="2" t="inlineStr">
        <is>
          <t>P-7</t>
        </is>
      </c>
      <c r="B528" s="3" t="inlineStr">
        <is>
          <t>POL</t>
        </is>
      </c>
      <c r="C528" s="3" t="inlineStr">
        <is>
          <t>policy.tests.test_intake</t>
        </is>
      </c>
      <c r="D528" s="3" t="inlineStr">
        <is>
          <t>TestClassificationDrivesRoutingAndService</t>
        </is>
      </c>
      <c r="E528" s="3" t="inlineStr">
        <is>
          <t>test_a_minor_classification_selects_the_minor_route</t>
        </is>
      </c>
      <c r="F528" s="3" t="inlineStr">
        <is>
          <t>whole class</t>
        </is>
      </c>
      <c r="G528" s="2" t="n">
        <v>5</v>
      </c>
      <c r="H528" s="2" t="n">
        <v>5</v>
      </c>
      <c r="I528" s="3" t="inlineStr">
        <is>
          <t>consilium/policy/tests/test_intake.py</t>
        </is>
      </c>
    </row>
    <row r="529" ht="30" customHeight="1">
      <c r="A529" s="2" t="inlineStr">
        <is>
          <t>P-7</t>
        </is>
      </c>
      <c r="B529" s="3" t="inlineStr">
        <is>
          <t>POL</t>
        </is>
      </c>
      <c r="C529" s="3" t="inlineStr">
        <is>
          <t>policy.tests.test_intake</t>
        </is>
      </c>
      <c r="D529" s="3" t="inlineStr">
        <is>
          <t>TestClassificationDrivesRoutingAndService</t>
        </is>
      </c>
      <c r="E529" s="3" t="inlineStr">
        <is>
          <t>test_an_override_reroutes_the_document</t>
        </is>
      </c>
      <c r="F529" s="3" t="inlineStr">
        <is>
          <t>whole class</t>
        </is>
      </c>
      <c r="G529" s="2" t="n">
        <v>5</v>
      </c>
      <c r="H529" s="2" t="n">
        <v>5</v>
      </c>
      <c r="I529" s="3" t="inlineStr">
        <is>
          <t>consilium/policy/tests/test_intake.py</t>
        </is>
      </c>
    </row>
    <row r="530" ht="30" customHeight="1">
      <c r="A530" s="2" t="inlineStr">
        <is>
          <t>P-7</t>
        </is>
      </c>
      <c r="B530" s="3" t="inlineStr">
        <is>
          <t>POL</t>
        </is>
      </c>
      <c r="C530" s="3" t="inlineStr">
        <is>
          <t>policy.tests.test_intake</t>
        </is>
      </c>
      <c r="D530" s="3" t="inlineStr">
        <is>
          <t>TestClassificationDrivesRoutingAndService</t>
        </is>
      </c>
      <c r="E530" s="3" t="inlineStr">
        <is>
          <t>test_classification_starts_the_matching_service_level_clock</t>
        </is>
      </c>
      <c r="F530" s="3" t="inlineStr">
        <is>
          <t>whole class</t>
        </is>
      </c>
      <c r="G530" s="2" t="n">
        <v>5</v>
      </c>
      <c r="H530" s="2" t="n">
        <v>5</v>
      </c>
      <c r="I530" s="3" t="inlineStr">
        <is>
          <t>consilium/policy/tests/test_intake.py</t>
        </is>
      </c>
    </row>
    <row r="531" ht="30" customHeight="1">
      <c r="A531" s="2" t="inlineStr">
        <is>
          <t>P-7</t>
        </is>
      </c>
      <c r="B531" s="3" t="inlineStr">
        <is>
          <t>POL</t>
        </is>
      </c>
      <c r="C531" s="3" t="inlineStr">
        <is>
          <t>policy.tests.test_intake</t>
        </is>
      </c>
      <c r="D531" s="3" t="inlineStr">
        <is>
          <t>TestClassificationDrivesRoutingAndService</t>
        </is>
      </c>
      <c r="E531" s="3" t="inlineStr">
        <is>
          <t>test_a_minor_classification_gets_the_longer_service_level</t>
        </is>
      </c>
      <c r="F531" s="3" t="inlineStr">
        <is>
          <t>whole class</t>
        </is>
      </c>
      <c r="G531" s="2" t="n">
        <v>5</v>
      </c>
      <c r="H531" s="2" t="n">
        <v>5</v>
      </c>
      <c r="I531" s="3" t="inlineStr">
        <is>
          <t>consilium/policy/tests/test_intake.py</t>
        </is>
      </c>
    </row>
    <row r="532" ht="17" customHeight="1">
      <c r="A532" s="2" t="inlineStr">
        <is>
          <t>P-8</t>
        </is>
      </c>
      <c r="B532" s="3" t="inlineStr">
        <is>
          <t>POL</t>
        </is>
      </c>
      <c r="C532" s="3" t="inlineStr">
        <is>
          <t>policy.tests.test_portal_actions</t>
        </is>
      </c>
      <c r="D532" s="3" t="inlineStr">
        <is>
          <t>TestApprovalChain</t>
        </is>
      </c>
      <c r="E532" s="3" t="inlineStr">
        <is>
          <t>test_raising_the_steps_assigns_and_tells_each_approver</t>
        </is>
      </c>
      <c r="F532" s="3" t="inlineStr">
        <is>
          <t>whole class</t>
        </is>
      </c>
      <c r="G532" s="2" t="n">
        <v>15</v>
      </c>
      <c r="H532" s="2" t="n">
        <v>15</v>
      </c>
      <c r="I532" s="3" t="inlineStr">
        <is>
          <t>consilium/policy/tests/test_portal_actions.py</t>
        </is>
      </c>
    </row>
    <row r="533" ht="17" customHeight="1">
      <c r="A533" s="2" t="inlineStr">
        <is>
          <t>P-8</t>
        </is>
      </c>
      <c r="B533" s="3" t="inlineStr">
        <is>
          <t>POL</t>
        </is>
      </c>
      <c r="C533" s="3" t="inlineStr">
        <is>
          <t>policy.tests.test_portal_actions</t>
        </is>
      </c>
      <c r="D533" s="3" t="inlineStr">
        <is>
          <t>TestApprovalChain</t>
        </is>
      </c>
      <c r="E533" s="3" t="inlineStr">
        <is>
          <t>test_raising_twice_is_refused</t>
        </is>
      </c>
      <c r="F533" s="3" t="inlineStr">
        <is>
          <t>whole class</t>
        </is>
      </c>
      <c r="G533" s="2" t="n">
        <v>15</v>
      </c>
      <c r="H533" s="2" t="n">
        <v>15</v>
      </c>
      <c r="I533" s="3" t="inlineStr">
        <is>
          <t>consilium/policy/tests/test_portal_actions.py</t>
        </is>
      </c>
    </row>
    <row r="534" ht="17" customHeight="1">
      <c r="A534" s="2" t="inlineStr">
        <is>
          <t>P-8</t>
        </is>
      </c>
      <c r="B534" s="3" t="inlineStr">
        <is>
          <t>POL</t>
        </is>
      </c>
      <c r="C534" s="3" t="inlineStr">
        <is>
          <t>policy.tests.test_portal_actions</t>
        </is>
      </c>
      <c r="D534" s="3" t="inlineStr">
        <is>
          <t>TestApprovalChain</t>
        </is>
      </c>
      <c r="E534" s="3" t="inlineStr">
        <is>
          <t>test_steps_are_not_raised_while_drafting</t>
        </is>
      </c>
      <c r="F534" s="3" t="inlineStr">
        <is>
          <t>whole class</t>
        </is>
      </c>
      <c r="G534" s="2" t="n">
        <v>15</v>
      </c>
      <c r="H534" s="2" t="n">
        <v>15</v>
      </c>
      <c r="I534" s="3" t="inlineStr">
        <is>
          <t>consilium/policy/tests/test_portal_actions.py</t>
        </is>
      </c>
    </row>
    <row r="535" ht="17" customHeight="1">
      <c r="A535" s="2" t="inlineStr">
        <is>
          <t>P-8</t>
        </is>
      </c>
      <c r="B535" s="3" t="inlineStr">
        <is>
          <t>POL</t>
        </is>
      </c>
      <c r="C535" s="3" t="inlineStr">
        <is>
          <t>policy.tests.test_portal_actions</t>
        </is>
      </c>
      <c r="D535" s="3" t="inlineStr">
        <is>
          <t>TestApprovalChain</t>
        </is>
      </c>
      <c r="E535" s="3" t="inlineStr">
        <is>
          <t>test_steps_are_not_raised_without_a_version</t>
        </is>
      </c>
      <c r="F535" s="3" t="inlineStr">
        <is>
          <t>whole class</t>
        </is>
      </c>
      <c r="G535" s="2" t="n">
        <v>15</v>
      </c>
      <c r="H535" s="2" t="n">
        <v>15</v>
      </c>
      <c r="I535" s="3" t="inlineStr">
        <is>
          <t>consilium/policy/tests/test_portal_actions.py</t>
        </is>
      </c>
    </row>
    <row r="536" ht="17" customHeight="1">
      <c r="A536" s="2" t="inlineStr">
        <is>
          <t>P-8</t>
        </is>
      </c>
      <c r="B536" s="3" t="inlineStr">
        <is>
          <t>POL</t>
        </is>
      </c>
      <c r="C536" s="3" t="inlineStr">
        <is>
          <t>policy.tests.test_portal_actions</t>
        </is>
      </c>
      <c r="D536" s="3" t="inlineStr">
        <is>
          <t>TestApprovalChain</t>
        </is>
      </c>
      <c r="E536" s="3" t="inlineStr">
        <is>
          <t>test_a_reviewer_cannot_raise_the_steps</t>
        </is>
      </c>
      <c r="F536" s="3" t="inlineStr">
        <is>
          <t>whole class</t>
        </is>
      </c>
      <c r="G536" s="2" t="n">
        <v>15</v>
      </c>
      <c r="H536" s="2" t="n">
        <v>15</v>
      </c>
      <c r="I536" s="3" t="inlineStr">
        <is>
          <t>consilium/policy/tests/test_portal_actions.py</t>
        </is>
      </c>
    </row>
    <row r="537" ht="17" customHeight="1">
      <c r="A537" s="2" t="inlineStr">
        <is>
          <t>P-8</t>
        </is>
      </c>
      <c r="B537" s="3" t="inlineStr">
        <is>
          <t>POL</t>
        </is>
      </c>
      <c r="C537" s="3" t="inlineStr">
        <is>
          <t>policy.tests.test_portal_actions</t>
        </is>
      </c>
      <c r="D537" s="3" t="inlineStr">
        <is>
          <t>TestApprovalChain</t>
        </is>
      </c>
      <c r="E537" s="3" t="inlineStr">
        <is>
          <t>test_the_assignee_decides_and_the_chain_completes</t>
        </is>
      </c>
      <c r="F537" s="3" t="inlineStr">
        <is>
          <t>whole class</t>
        </is>
      </c>
      <c r="G537" s="2" t="n">
        <v>15</v>
      </c>
      <c r="H537" s="2" t="n">
        <v>15</v>
      </c>
      <c r="I537" s="3" t="inlineStr">
        <is>
          <t>consilium/policy/tests/test_portal_actions.py</t>
        </is>
      </c>
    </row>
    <row r="538" ht="17" customHeight="1">
      <c r="A538" s="2" t="inlineStr">
        <is>
          <t>P-8</t>
        </is>
      </c>
      <c r="B538" s="3" t="inlineStr">
        <is>
          <t>POL</t>
        </is>
      </c>
      <c r="C538" s="3" t="inlineStr">
        <is>
          <t>policy.tests.test_portal_actions</t>
        </is>
      </c>
      <c r="D538" s="3" t="inlineStr">
        <is>
          <t>TestApprovalChain</t>
        </is>
      </c>
      <c r="E538" s="3" t="inlineStr">
        <is>
          <t>test_a_stranger_cannot_decide_a_step</t>
        </is>
      </c>
      <c r="F538" s="3" t="inlineStr">
        <is>
          <t>whole class</t>
        </is>
      </c>
      <c r="G538" s="2" t="n">
        <v>15</v>
      </c>
      <c r="H538" s="2" t="n">
        <v>15</v>
      </c>
      <c r="I538" s="3" t="inlineStr">
        <is>
          <t>consilium/policy/tests/test_portal_actions.py</t>
        </is>
      </c>
    </row>
    <row r="539" ht="17" customHeight="1">
      <c r="A539" s="2" t="inlineStr">
        <is>
          <t>P-8</t>
        </is>
      </c>
      <c r="B539" s="3" t="inlineStr">
        <is>
          <t>POL</t>
        </is>
      </c>
      <c r="C539" s="3" t="inlineStr">
        <is>
          <t>policy.tests.test_portal_actions</t>
        </is>
      </c>
      <c r="D539" s="3" t="inlineStr">
        <is>
          <t>TestApprovalChain</t>
        </is>
      </c>
      <c r="E539" s="3" t="inlineStr">
        <is>
          <t>test_a_live_delegate_decides_in_the_approvers_place</t>
        </is>
      </c>
      <c r="F539" s="3" t="inlineStr">
        <is>
          <t>whole class</t>
        </is>
      </c>
      <c r="G539" s="2" t="n">
        <v>15</v>
      </c>
      <c r="H539" s="2" t="n">
        <v>15</v>
      </c>
      <c r="I539" s="3" t="inlineStr">
        <is>
          <t>consilium/policy/tests/test_portal_actions.py</t>
        </is>
      </c>
    </row>
    <row r="540" ht="17" customHeight="1">
      <c r="A540" s="2" t="inlineStr">
        <is>
          <t>P-8</t>
        </is>
      </c>
      <c r="B540" s="3" t="inlineStr">
        <is>
          <t>POL</t>
        </is>
      </c>
      <c r="C540" s="3" t="inlineStr">
        <is>
          <t>policy.tests.test_portal_actions</t>
        </is>
      </c>
      <c r="D540" s="3" t="inlineStr">
        <is>
          <t>TestApprovalChain</t>
        </is>
      </c>
      <c r="E540" s="3" t="inlineStr">
        <is>
          <t>test_an_objection_carries_its_reason</t>
        </is>
      </c>
      <c r="F540" s="3" t="inlineStr">
        <is>
          <t>whole class</t>
        </is>
      </c>
      <c r="G540" s="2" t="n">
        <v>15</v>
      </c>
      <c r="H540" s="2" t="n">
        <v>15</v>
      </c>
      <c r="I540" s="3" t="inlineStr">
        <is>
          <t>consilium/policy/tests/test_portal_actions.py</t>
        </is>
      </c>
    </row>
    <row r="541" ht="17" customHeight="1">
      <c r="A541" s="2" t="inlineStr">
        <is>
          <t>P-8</t>
        </is>
      </c>
      <c r="B541" s="3" t="inlineStr">
        <is>
          <t>POL</t>
        </is>
      </c>
      <c r="C541" s="3" t="inlineStr">
        <is>
          <t>policy.tests.test_portal_actions</t>
        </is>
      </c>
      <c r="D541" s="3" t="inlineStr">
        <is>
          <t>TestApprovalChain</t>
        </is>
      </c>
      <c r="E541" s="3" t="inlineStr">
        <is>
          <t>test_the_queue_lists_only_the_callers_steps</t>
        </is>
      </c>
      <c r="F541" s="3" t="inlineStr">
        <is>
          <t>whole class</t>
        </is>
      </c>
      <c r="G541" s="2" t="n">
        <v>15</v>
      </c>
      <c r="H541" s="2" t="n">
        <v>15</v>
      </c>
      <c r="I541" s="3" t="inlineStr">
        <is>
          <t>consilium/policy/tests/test_portal_actions.py</t>
        </is>
      </c>
    </row>
    <row r="542" ht="17" customHeight="1">
      <c r="A542" s="2" t="inlineStr">
        <is>
          <t>P-8</t>
        </is>
      </c>
      <c r="B542" s="3" t="inlineStr">
        <is>
          <t>POL</t>
        </is>
      </c>
      <c r="C542" s="3" t="inlineStr">
        <is>
          <t>policy.tests.test_portal_actions</t>
        </is>
      </c>
      <c r="D542" s="3" t="inlineStr">
        <is>
          <t>TestApprovalChain</t>
        </is>
      </c>
      <c r="E542" s="3" t="inlineStr">
        <is>
          <t>test_the_office_bypasses_a_step_with_a_written_exception</t>
        </is>
      </c>
      <c r="F542" s="3" t="inlineStr">
        <is>
          <t>whole class</t>
        </is>
      </c>
      <c r="G542" s="2" t="n">
        <v>15</v>
      </c>
      <c r="H542" s="2" t="n">
        <v>15</v>
      </c>
      <c r="I542" s="3" t="inlineStr">
        <is>
          <t>consilium/policy/tests/test_portal_actions.py</t>
        </is>
      </c>
    </row>
    <row r="543" ht="17" customHeight="1">
      <c r="A543" s="2" t="inlineStr">
        <is>
          <t>P-8</t>
        </is>
      </c>
      <c r="B543" s="3" t="inlineStr">
        <is>
          <t>POL</t>
        </is>
      </c>
      <c r="C543" s="3" t="inlineStr">
        <is>
          <t>policy.tests.test_portal_actions</t>
        </is>
      </c>
      <c r="D543" s="3" t="inlineStr">
        <is>
          <t>TestApprovalChain</t>
        </is>
      </c>
      <c r="E543" s="3" t="inlineStr">
        <is>
          <t>test_a_bypass_without_justification_is_refused</t>
        </is>
      </c>
      <c r="F543" s="3" t="inlineStr">
        <is>
          <t>whole class</t>
        </is>
      </c>
      <c r="G543" s="2" t="n">
        <v>15</v>
      </c>
      <c r="H543" s="2" t="n">
        <v>15</v>
      </c>
      <c r="I543" s="3" t="inlineStr">
        <is>
          <t>consilium/policy/tests/test_portal_actions.py</t>
        </is>
      </c>
    </row>
    <row r="544" ht="17" customHeight="1">
      <c r="A544" s="2" t="inlineStr">
        <is>
          <t>P-8</t>
        </is>
      </c>
      <c r="B544" s="3" t="inlineStr">
        <is>
          <t>POL</t>
        </is>
      </c>
      <c r="C544" s="3" t="inlineStr">
        <is>
          <t>policy.tests.test_portal_actions</t>
        </is>
      </c>
      <c r="D544" s="3" t="inlineStr">
        <is>
          <t>TestApprovalChain</t>
        </is>
      </c>
      <c r="E544" s="3" t="inlineStr">
        <is>
          <t>test_nobody_bypasses_their_own_step</t>
        </is>
      </c>
      <c r="F544" s="3" t="inlineStr">
        <is>
          <t>whole class</t>
        </is>
      </c>
      <c r="G544" s="2" t="n">
        <v>15</v>
      </c>
      <c r="H544" s="2" t="n">
        <v>15</v>
      </c>
      <c r="I544" s="3" t="inlineStr">
        <is>
          <t>consilium/policy/tests/test_portal_actions.py</t>
        </is>
      </c>
    </row>
    <row r="545" ht="17" customHeight="1">
      <c r="A545" s="2" t="inlineStr">
        <is>
          <t>P-8</t>
        </is>
      </c>
      <c r="B545" s="3" t="inlineStr">
        <is>
          <t>POL</t>
        </is>
      </c>
      <c r="C545" s="3" t="inlineStr">
        <is>
          <t>policy.tests.test_portal_actions</t>
        </is>
      </c>
      <c r="D545" s="3" t="inlineStr">
        <is>
          <t>TestApprovalChain</t>
        </is>
      </c>
      <c r="E545" s="3" t="inlineStr">
        <is>
          <t>test_an_owner_cannot_bypass_a_step</t>
        </is>
      </c>
      <c r="F545" s="3" t="inlineStr">
        <is>
          <t>whole class</t>
        </is>
      </c>
      <c r="G545" s="2" t="n">
        <v>15</v>
      </c>
      <c r="H545" s="2" t="n">
        <v>15</v>
      </c>
      <c r="I545" s="3" t="inlineStr">
        <is>
          <t>consilium/policy/tests/test_portal_actions.py</t>
        </is>
      </c>
    </row>
    <row r="546" ht="30" customHeight="1">
      <c r="A546" s="2" t="inlineStr">
        <is>
          <t>P-8</t>
        </is>
      </c>
      <c r="B546" s="3" t="inlineStr">
        <is>
          <t>POL</t>
        </is>
      </c>
      <c r="C546" s="3" t="inlineStr">
        <is>
          <t>policy.tests.test_portal_actions</t>
        </is>
      </c>
      <c r="D546" s="3" t="inlineStr">
        <is>
          <t>TestApprovalChain</t>
        </is>
      </c>
      <c r="E546" s="3" t="inlineStr">
        <is>
          <t>test_an_approver_without_read_access_sees_the_approval_and_nothing_else</t>
        </is>
      </c>
      <c r="F546" s="3" t="inlineStr">
        <is>
          <t>whole class</t>
        </is>
      </c>
      <c r="G546" s="2" t="n">
        <v>15</v>
      </c>
      <c r="H546" s="2" t="n">
        <v>15</v>
      </c>
      <c r="I546" s="3" t="inlineStr">
        <is>
          <t>consilium/policy/tests/test_portal_actions.py</t>
        </is>
      </c>
    </row>
    <row r="547" ht="17" customHeight="1">
      <c r="A547" s="2" t="inlineStr">
        <is>
          <t>P-8</t>
        </is>
      </c>
      <c r="B547" s="3" t="inlineStr">
        <is>
          <t>POL</t>
        </is>
      </c>
      <c r="C547" s="3" t="inlineStr">
        <is>
          <t>policy.tests.test_lifecycle</t>
        </is>
      </c>
      <c r="D547" s="3" t="inlineStr">
        <is>
          <t>TestApprovalRouting</t>
        </is>
      </c>
      <c r="E547" s="3" t="inlineStr">
        <is>
          <t>test_a_major_change_routes_through_three_approvals</t>
        </is>
      </c>
      <c r="F547" s="3" t="inlineStr">
        <is>
          <t>whole class</t>
        </is>
      </c>
      <c r="G547" s="2" t="n">
        <v>7</v>
      </c>
      <c r="H547" s="2" t="n">
        <v>7</v>
      </c>
      <c r="I547" s="3" t="inlineStr">
        <is>
          <t>consilium/policy/tests/test_lifecycle.py</t>
        </is>
      </c>
    </row>
    <row r="548" ht="17" customHeight="1">
      <c r="A548" s="2" t="inlineStr">
        <is>
          <t>P-8</t>
        </is>
      </c>
      <c r="B548" s="3" t="inlineStr">
        <is>
          <t>POL</t>
        </is>
      </c>
      <c r="C548" s="3" t="inlineStr">
        <is>
          <t>policy.tests.test_lifecycle</t>
        </is>
      </c>
      <c r="D548" s="3" t="inlineStr">
        <is>
          <t>TestApprovalRouting</t>
        </is>
      </c>
      <c r="E548" s="3" t="inlineStr">
        <is>
          <t>test_a_minor_change_routes_through_one</t>
        </is>
      </c>
      <c r="F548" s="3" t="inlineStr">
        <is>
          <t>whole class</t>
        </is>
      </c>
      <c r="G548" s="2" t="n">
        <v>7</v>
      </c>
      <c r="H548" s="2" t="n">
        <v>7</v>
      </c>
      <c r="I548" s="3" t="inlineStr">
        <is>
          <t>consilium/policy/tests/test_lifecycle.py</t>
        </is>
      </c>
    </row>
    <row r="549" ht="30" customHeight="1">
      <c r="A549" s="2" t="inlineStr">
        <is>
          <t>P-8</t>
        </is>
      </c>
      <c r="B549" s="3" t="inlineStr">
        <is>
          <t>POL</t>
        </is>
      </c>
      <c r="C549" s="3" t="inlineStr">
        <is>
          <t>policy.tests.test_lifecycle</t>
        </is>
      </c>
      <c r="D549" s="3" t="inlineStr">
        <is>
          <t>TestApprovalRouting</t>
        </is>
      </c>
      <c r="E549" s="3" t="inlineStr">
        <is>
          <t>test_an_unclassified_document_takes_the_conservative_default</t>
        </is>
      </c>
      <c r="F549" s="3" t="inlineStr">
        <is>
          <t>whole class</t>
        </is>
      </c>
      <c r="G549" s="2" t="n">
        <v>7</v>
      </c>
      <c r="H549" s="2" t="n">
        <v>7</v>
      </c>
      <c r="I549" s="3" t="inlineStr">
        <is>
          <t>consilium/policy/tests/test_lifecycle.py</t>
        </is>
      </c>
    </row>
    <row r="550" ht="17" customHeight="1">
      <c r="A550" s="2" t="inlineStr">
        <is>
          <t>P-8</t>
        </is>
      </c>
      <c r="B550" s="3" t="inlineStr">
        <is>
          <t>POL</t>
        </is>
      </c>
      <c r="C550" s="3" t="inlineStr">
        <is>
          <t>policy.tests.test_lifecycle</t>
        </is>
      </c>
      <c r="D550" s="3" t="inlineStr">
        <is>
          <t>TestApprovalRouting</t>
        </is>
      </c>
      <c r="E550" s="3" t="inlineStr">
        <is>
          <t>test_the_path_is_visible_before_submission</t>
        </is>
      </c>
      <c r="F550" s="3" t="inlineStr">
        <is>
          <t>whole class</t>
        </is>
      </c>
      <c r="G550" s="2" t="n">
        <v>7</v>
      </c>
      <c r="H550" s="2" t="n">
        <v>7</v>
      </c>
      <c r="I550" s="3" t="inlineStr">
        <is>
          <t>consilium/policy/tests/test_lifecycle.py</t>
        </is>
      </c>
    </row>
    <row r="551" ht="17" customHeight="1">
      <c r="A551" s="2" t="inlineStr">
        <is>
          <t>P-8</t>
        </is>
      </c>
      <c r="B551" s="3" t="inlineStr">
        <is>
          <t>POL</t>
        </is>
      </c>
      <c r="C551" s="3" t="inlineStr">
        <is>
          <t>policy.tests.test_lifecycle</t>
        </is>
      </c>
      <c r="D551" s="3" t="inlineStr">
        <is>
          <t>TestApprovalRouting</t>
        </is>
      </c>
      <c r="E551" s="3" t="inlineStr">
        <is>
          <t>test_routing_is_configuration</t>
        </is>
      </c>
      <c r="F551" s="3" t="inlineStr">
        <is>
          <t>whole class</t>
        </is>
      </c>
      <c r="G551" s="2" t="n">
        <v>7</v>
      </c>
      <c r="H551" s="2" t="n">
        <v>7</v>
      </c>
      <c r="I551" s="3" t="inlineStr">
        <is>
          <t>consilium/policy/tests/test_lifecycle.py</t>
        </is>
      </c>
    </row>
    <row r="552" ht="17" customHeight="1">
      <c r="A552" s="2" t="inlineStr">
        <is>
          <t>P-8</t>
        </is>
      </c>
      <c r="B552" s="3" t="inlineStr">
        <is>
          <t>POL</t>
        </is>
      </c>
      <c r="C552" s="3" t="inlineStr">
        <is>
          <t>policy.tests.test_lifecycle</t>
        </is>
      </c>
      <c r="D552" s="3" t="inlineStr">
        <is>
          <t>TestApprovalRouting</t>
        </is>
      </c>
      <c r="E552" s="3" t="inlineStr">
        <is>
          <t>test_a_route_with_duplicate_step_names_is_refused</t>
        </is>
      </c>
      <c r="F552" s="3" t="inlineStr">
        <is>
          <t>whole class</t>
        </is>
      </c>
      <c r="G552" s="2" t="n">
        <v>7</v>
      </c>
      <c r="H552" s="2" t="n">
        <v>7</v>
      </c>
      <c r="I552" s="3" t="inlineStr">
        <is>
          <t>consilium/policy/tests/test_lifecycle.py</t>
        </is>
      </c>
    </row>
    <row r="553" ht="30" customHeight="1">
      <c r="A553" s="2" t="inlineStr">
        <is>
          <t>P-8</t>
        </is>
      </c>
      <c r="B553" s="3" t="inlineStr">
        <is>
          <t>POL</t>
        </is>
      </c>
      <c r="C553" s="3" t="inlineStr">
        <is>
          <t>policy.tests.test_lifecycle</t>
        </is>
      </c>
      <c r="D553" s="3" t="inlineStr">
        <is>
          <t>TestApprovalRouting</t>
        </is>
      </c>
      <c r="E553" s="3" t="inlineStr">
        <is>
          <t>test_instantiating_a_route_twice_does_not_duplicate_decisions</t>
        </is>
      </c>
      <c r="F553" s="3" t="inlineStr">
        <is>
          <t>whole class</t>
        </is>
      </c>
      <c r="G553" s="2" t="n">
        <v>7</v>
      </c>
      <c r="H553" s="2" t="n">
        <v>7</v>
      </c>
      <c r="I553" s="3" t="inlineStr">
        <is>
          <t>consilium/policy/tests/test_lifecycle.py</t>
        </is>
      </c>
    </row>
    <row r="554" ht="30" customHeight="1">
      <c r="A554" s="2" t="inlineStr">
        <is>
          <t>P-8</t>
        </is>
      </c>
      <c r="B554" s="3" t="inlineStr">
        <is>
          <t>POL</t>
        </is>
      </c>
      <c r="C554" s="3" t="inlineStr">
        <is>
          <t>policy.tests.test_lifecycle</t>
        </is>
      </c>
      <c r="D554" s="3" t="inlineStr">
        <is>
          <t>TestParentOwnerApproval</t>
        </is>
      </c>
      <c r="E554" s="3" t="inlineStr">
        <is>
          <t>test_lineage_adds_the_parent_owners_approval_as_a_distinct_step</t>
        </is>
      </c>
      <c r="F554" s="3" t="inlineStr">
        <is>
          <t>whole class</t>
        </is>
      </c>
      <c r="G554" s="2" t="n">
        <v>3</v>
      </c>
      <c r="H554" s="2" t="n">
        <v>3</v>
      </c>
      <c r="I554" s="3" t="inlineStr">
        <is>
          <t>consilium/policy/tests/test_lifecycle.py</t>
        </is>
      </c>
    </row>
    <row r="555" ht="17" customHeight="1">
      <c r="A555" s="2" t="inlineStr">
        <is>
          <t>P-8</t>
        </is>
      </c>
      <c r="B555" s="3" t="inlineStr">
        <is>
          <t>POL</t>
        </is>
      </c>
      <c r="C555" s="3" t="inlineStr">
        <is>
          <t>policy.tests.test_lifecycle</t>
        </is>
      </c>
      <c r="D555" s="3" t="inlineStr">
        <is>
          <t>TestParentOwnerApproval</t>
        </is>
      </c>
      <c r="E555" s="3" t="inlineStr">
        <is>
          <t>test_without_the_flag_no_parent_step_is_added</t>
        </is>
      </c>
      <c r="F555" s="3" t="inlineStr">
        <is>
          <t>whole class</t>
        </is>
      </c>
      <c r="G555" s="2" t="n">
        <v>3</v>
      </c>
      <c r="H555" s="2" t="n">
        <v>3</v>
      </c>
      <c r="I555" s="3" t="inlineStr">
        <is>
          <t>consilium/policy/tests/test_lifecycle.py</t>
        </is>
      </c>
    </row>
    <row r="556" ht="30" customHeight="1">
      <c r="A556" s="2" t="inlineStr">
        <is>
          <t>P-8</t>
        </is>
      </c>
      <c r="B556" s="3" t="inlineStr">
        <is>
          <t>POL</t>
        </is>
      </c>
      <c r="C556" s="3" t="inlineStr">
        <is>
          <t>policy.tests.test_lifecycle</t>
        </is>
      </c>
      <c r="D556" s="3" t="inlineStr">
        <is>
          <t>TestParentOwnerApproval</t>
        </is>
      </c>
      <c r="E556" s="3" t="inlineStr">
        <is>
          <t>test_publication_is_refused_while_the_parent_owner_has_not_approved</t>
        </is>
      </c>
      <c r="F556" s="3" t="inlineStr">
        <is>
          <t>whole class</t>
        </is>
      </c>
      <c r="G556" s="2" t="n">
        <v>3</v>
      </c>
      <c r="H556" s="2" t="n">
        <v>3</v>
      </c>
      <c r="I556" s="3" t="inlineStr">
        <is>
          <t>consilium/policy/tests/test_lifecycle.py</t>
        </is>
      </c>
    </row>
    <row r="557" ht="30" customHeight="1">
      <c r="A557" s="2" t="inlineStr">
        <is>
          <t>P-8</t>
        </is>
      </c>
      <c r="B557" s="3" t="inlineStr">
        <is>
          <t>POL</t>
        </is>
      </c>
      <c r="C557" s="3" t="inlineStr">
        <is>
          <t>consilium_core.tests.test_core_controls_wave3</t>
        </is>
      </c>
      <c r="D557" s="3" t="inlineStr">
        <is>
          <t>TestSequentialApprovals</t>
        </is>
      </c>
      <c r="E557" s="3" t="inlineStr">
        <is>
          <t>test_a_later_sequential_step_is_refused_until_the_earlier_one_is_decided</t>
        </is>
      </c>
      <c r="F557" s="3" t="inlineStr">
        <is>
          <t>whole class</t>
        </is>
      </c>
      <c r="G557" s="2" t="n">
        <v>6</v>
      </c>
      <c r="H557" s="2" t="n">
        <v>6</v>
      </c>
      <c r="I557" s="3" t="inlineStr">
        <is>
          <t>consilium/consilium_core/tests/test_core_controls_wave3.py</t>
        </is>
      </c>
    </row>
    <row r="558" ht="30" customHeight="1">
      <c r="A558" s="2" t="inlineStr">
        <is>
          <t>P-8</t>
        </is>
      </c>
      <c r="B558" s="3" t="inlineStr">
        <is>
          <t>POL</t>
        </is>
      </c>
      <c r="C558" s="3" t="inlineStr">
        <is>
          <t>consilium_core.tests.test_core_controls_wave3</t>
        </is>
      </c>
      <c r="D558" s="3" t="inlineStr">
        <is>
          <t>TestSequentialApprovals</t>
        </is>
      </c>
      <c r="E558" s="3" t="inlineStr">
        <is>
          <t>test_a_parallel_step_does_not_wait</t>
        </is>
      </c>
      <c r="F558" s="3" t="inlineStr">
        <is>
          <t>whole class</t>
        </is>
      </c>
      <c r="G558" s="2" t="n">
        <v>6</v>
      </c>
      <c r="H558" s="2" t="n">
        <v>6</v>
      </c>
      <c r="I558" s="3" t="inlineStr">
        <is>
          <t>consilium/consilium_core/tests/test_core_controls_wave3.py</t>
        </is>
      </c>
    </row>
    <row r="559" ht="30" customHeight="1">
      <c r="A559" s="2" t="inlineStr">
        <is>
          <t>P-8</t>
        </is>
      </c>
      <c r="B559" s="3" t="inlineStr">
        <is>
          <t>POL</t>
        </is>
      </c>
      <c r="C559" s="3" t="inlineStr">
        <is>
          <t>consilium_core.tests.test_core_controls_wave3</t>
        </is>
      </c>
      <c r="D559" s="3" t="inlineStr">
        <is>
          <t>TestSequentialApprovals</t>
        </is>
      </c>
      <c r="E559" s="3" t="inlineStr">
        <is>
          <t>test_steps_sharing_a_sequence_number_are_peers</t>
        </is>
      </c>
      <c r="F559" s="3" t="inlineStr">
        <is>
          <t>whole class</t>
        </is>
      </c>
      <c r="G559" s="2" t="n">
        <v>6</v>
      </c>
      <c r="H559" s="2" t="n">
        <v>6</v>
      </c>
      <c r="I559" s="3" t="inlineStr">
        <is>
          <t>consilium/consilium_core/tests/test_core_controls_wave3.py</t>
        </is>
      </c>
    </row>
    <row r="560" ht="30" customHeight="1">
      <c r="A560" s="2" t="inlineStr">
        <is>
          <t>P-8</t>
        </is>
      </c>
      <c r="B560" s="3" t="inlineStr">
        <is>
          <t>POL</t>
        </is>
      </c>
      <c r="C560" s="3" t="inlineStr">
        <is>
          <t>consilium_core.tests.test_core_controls_wave3</t>
        </is>
      </c>
      <c r="D560" s="3" t="inlineStr">
        <is>
          <t>TestSequentialApprovals</t>
        </is>
      </c>
      <c r="E560" s="3" t="inlineStr">
        <is>
          <t>test_a_bypass_under_an_exception_authorisation_is_not_held_to_the_order</t>
        </is>
      </c>
      <c r="F560" s="3" t="inlineStr">
        <is>
          <t>whole class</t>
        </is>
      </c>
      <c r="G560" s="2" t="n">
        <v>6</v>
      </c>
      <c r="H560" s="2" t="n">
        <v>6</v>
      </c>
      <c r="I560" s="3" t="inlineStr">
        <is>
          <t>consilium/consilium_core/tests/test_core_controls_wave3.py</t>
        </is>
      </c>
    </row>
    <row r="561" ht="30" customHeight="1">
      <c r="A561" s="2" t="inlineStr">
        <is>
          <t>P-8</t>
        </is>
      </c>
      <c r="B561" s="3" t="inlineStr">
        <is>
          <t>POL</t>
        </is>
      </c>
      <c r="C561" s="3" t="inlineStr">
        <is>
          <t>consilium_core.tests.test_core_controls_wave3</t>
        </is>
      </c>
      <c r="D561" s="3" t="inlineStr">
        <is>
          <t>TestSequentialApprovals</t>
        </is>
      </c>
      <c r="E561" s="3" t="inlineStr">
        <is>
          <t>test_an_earlier_cycles_open_step_does_not_block_this_cycle</t>
        </is>
      </c>
      <c r="F561" s="3" t="inlineStr">
        <is>
          <t>whole class</t>
        </is>
      </c>
      <c r="G561" s="2" t="n">
        <v>6</v>
      </c>
      <c r="H561" s="2" t="n">
        <v>6</v>
      </c>
      <c r="I561" s="3" t="inlineStr">
        <is>
          <t>consilium/consilium_core/tests/test_core_controls_wave3.py</t>
        </is>
      </c>
    </row>
    <row r="562" ht="30" customHeight="1">
      <c r="A562" s="2" t="inlineStr">
        <is>
          <t>P-8</t>
        </is>
      </c>
      <c r="B562" s="3" t="inlineStr">
        <is>
          <t>POL</t>
        </is>
      </c>
      <c r="C562" s="3" t="inlineStr">
        <is>
          <t>consilium_core.tests.test_core_controls_wave3</t>
        </is>
      </c>
      <c r="D562" s="3" t="inlineStr">
        <is>
          <t>TestSequentialApprovals</t>
        </is>
      </c>
      <c r="E562" s="3" t="inlineStr">
        <is>
          <t>test_the_inbox_offers_a_step_only_when_it_is_the_approvers_turn</t>
        </is>
      </c>
      <c r="F562" s="3" t="inlineStr">
        <is>
          <t>whole class</t>
        </is>
      </c>
      <c r="G562" s="2" t="n">
        <v>6</v>
      </c>
      <c r="H562" s="2" t="n">
        <v>6</v>
      </c>
      <c r="I562" s="3" t="inlineStr">
        <is>
          <t>consilium/consilium_core/tests/test_core_controls_wave3.py</t>
        </is>
      </c>
    </row>
    <row r="563" ht="30" customHeight="1">
      <c r="A563" s="2" t="inlineStr">
        <is>
          <t>P-8</t>
        </is>
      </c>
      <c r="B563" s="3" t="inlineStr">
        <is>
          <t>POL</t>
        </is>
      </c>
      <c r="C563" s="3" t="inlineStr">
        <is>
          <t>policy.tests.test_wave3</t>
        </is>
      </c>
      <c r="D563" s="3" t="inlineStr">
        <is>
          <t>TestGateExceptions</t>
        </is>
      </c>
      <c r="E563" s="3" t="inlineStr">
        <is>
          <t>test_requested_by_the_owner_approved_by_the_office_then_it_clears_the_gate</t>
        </is>
      </c>
      <c r="F563" s="3" t="inlineStr">
        <is>
          <t>whole class</t>
        </is>
      </c>
      <c r="G563" s="2" t="n">
        <v>4</v>
      </c>
      <c r="H563" s="2" t="n">
        <v>4</v>
      </c>
      <c r="I563" s="3" t="inlineStr">
        <is>
          <t>consilium/policy/tests/test_wave3.py</t>
        </is>
      </c>
    </row>
    <row r="564" ht="17" customHeight="1">
      <c r="A564" s="2" t="inlineStr">
        <is>
          <t>P-8</t>
        </is>
      </c>
      <c r="B564" s="3" t="inlineStr">
        <is>
          <t>POL</t>
        </is>
      </c>
      <c r="C564" s="3" t="inlineStr">
        <is>
          <t>policy.tests.test_wave3</t>
        </is>
      </c>
      <c r="D564" s="3" t="inlineStr">
        <is>
          <t>TestGateExceptions</t>
        </is>
      </c>
      <c r="E564" s="3" t="inlineStr">
        <is>
          <t>test_nobody_approves_their_own_request</t>
        </is>
      </c>
      <c r="F564" s="3" t="inlineStr">
        <is>
          <t>whole class</t>
        </is>
      </c>
      <c r="G564" s="2" t="n">
        <v>4</v>
      </c>
      <c r="H564" s="2" t="n">
        <v>4</v>
      </c>
      <c r="I564" s="3" t="inlineStr">
        <is>
          <t>consilium/policy/tests/test_wave3.py</t>
        </is>
      </c>
    </row>
    <row r="565" ht="30" customHeight="1">
      <c r="A565" s="2" t="inlineStr">
        <is>
          <t>P-8</t>
        </is>
      </c>
      <c r="B565" s="3" t="inlineStr">
        <is>
          <t>POL</t>
        </is>
      </c>
      <c r="C565" s="3" t="inlineStr">
        <is>
          <t>policy.tests.test_wave3</t>
        </is>
      </c>
      <c r="D565" s="3" t="inlineStr">
        <is>
          <t>TestGateExceptions</t>
        </is>
      </c>
      <c r="E565" s="3" t="inlineStr">
        <is>
          <t>test_an_approval_by_someone_without_the_standing_does_not_clear_a_gate</t>
        </is>
      </c>
      <c r="F565" s="3" t="inlineStr">
        <is>
          <t>whole class</t>
        </is>
      </c>
      <c r="G565" s="2" t="n">
        <v>4</v>
      </c>
      <c r="H565" s="2" t="n">
        <v>4</v>
      </c>
      <c r="I565" s="3" t="inlineStr">
        <is>
          <t>consilium/policy/tests/test_wave3.py</t>
        </is>
      </c>
    </row>
    <row r="566" ht="30" customHeight="1">
      <c r="A566" s="2" t="inlineStr">
        <is>
          <t>P-8</t>
        </is>
      </c>
      <c r="B566" s="3" t="inlineStr">
        <is>
          <t>POL</t>
        </is>
      </c>
      <c r="C566" s="3" t="inlineStr">
        <is>
          <t>policy.tests.test_wave3</t>
        </is>
      </c>
      <c r="D566" s="3" t="inlineStr">
        <is>
          <t>TestGateExceptions</t>
        </is>
      </c>
      <c r="E566" s="3" t="inlineStr">
        <is>
          <t>test_a_self_approved_step_bypass_does_not_excuse_other_gates</t>
        </is>
      </c>
      <c r="F566" s="3" t="inlineStr">
        <is>
          <t>whole class</t>
        </is>
      </c>
      <c r="G566" s="2" t="n">
        <v>4</v>
      </c>
      <c r="H566" s="2" t="n">
        <v>4</v>
      </c>
      <c r="I566" s="3" t="inlineStr">
        <is>
          <t>consilium/policy/tests/test_wave3.py</t>
        </is>
      </c>
    </row>
    <row r="567" ht="30" customHeight="1">
      <c r="A567" s="2" t="inlineStr">
        <is>
          <t>P-8</t>
        </is>
      </c>
      <c r="B567" s="3" t="inlineStr">
        <is>
          <t>POL</t>
        </is>
      </c>
      <c r="C567" s="3" t="inlineStr">
        <is>
          <t>policy.tests.test_wave3</t>
        </is>
      </c>
      <c r="D567" s="3" t="inlineStr">
        <is>
          <t>TestAttestationCampaign</t>
        </is>
      </c>
      <c r="E567" s="3" t="inlineStr">
        <is>
          <t>test_the_office_opens_a_campaign_for_the_documents_audience</t>
        </is>
      </c>
      <c r="F567" s="3" t="inlineStr">
        <is>
          <t>whole class</t>
        </is>
      </c>
      <c r="G567" s="2" t="n">
        <v>2</v>
      </c>
      <c r="H567" s="2" t="n">
        <v>2</v>
      </c>
      <c r="I567" s="3" t="inlineStr">
        <is>
          <t>consilium/policy/tests/test_wave3.py</t>
        </is>
      </c>
    </row>
    <row r="568" ht="30" customHeight="1">
      <c r="A568" s="2" t="inlineStr">
        <is>
          <t>P-8</t>
        </is>
      </c>
      <c r="B568" s="3" t="inlineStr">
        <is>
          <t>POL</t>
        </is>
      </c>
      <c r="C568" s="3" t="inlineStr">
        <is>
          <t>policy.tests.test_wave3</t>
        </is>
      </c>
      <c r="D568" s="3" t="inlineStr">
        <is>
          <t>TestAttestationCampaign</t>
        </is>
      </c>
      <c r="E568" s="3" t="inlineStr">
        <is>
          <t>test_only_the_office_opens_one_and_only_for_a_document_in_force</t>
        </is>
      </c>
      <c r="F568" s="3" t="inlineStr">
        <is>
          <t>whole class</t>
        </is>
      </c>
      <c r="G568" s="2" t="n">
        <v>2</v>
      </c>
      <c r="H568" s="2" t="n">
        <v>2</v>
      </c>
      <c r="I568" s="3" t="inlineStr">
        <is>
          <t>consilium/policy/tests/test_wave3.py</t>
        </is>
      </c>
    </row>
    <row r="569" ht="17" customHeight="1">
      <c r="A569" s="2" t="inlineStr">
        <is>
          <t>P-8</t>
        </is>
      </c>
      <c r="B569" s="3" t="inlineStr">
        <is>
          <t>POL</t>
        </is>
      </c>
      <c r="C569" s="3" t="inlineStr">
        <is>
          <t>policy.tests.test_horizon</t>
        </is>
      </c>
      <c r="D569" s="3" t="inlineStr">
        <is>
          <t>TestScanCadence</t>
        </is>
      </c>
      <c r="E569" s="3" t="inlineStr">
        <is>
          <t>test_the_due_date_derives_from_the_review_cadence</t>
        </is>
      </c>
      <c r="F569" s="3" t="inlineStr">
        <is>
          <t>whole class</t>
        </is>
      </c>
      <c r="G569" s="2" t="n">
        <v>8</v>
      </c>
      <c r="H569" s="2" t="n">
        <v>8</v>
      </c>
      <c r="I569" s="3" t="inlineStr">
        <is>
          <t>consilium/policy/tests/test_horizon.py</t>
        </is>
      </c>
    </row>
    <row r="570" ht="17" customHeight="1">
      <c r="A570" s="2" t="inlineStr">
        <is>
          <t>P-8</t>
        </is>
      </c>
      <c r="B570" s="3" t="inlineStr">
        <is>
          <t>POL</t>
        </is>
      </c>
      <c r="C570" s="3" t="inlineStr">
        <is>
          <t>policy.tests.test_horizon</t>
        </is>
      </c>
      <c r="D570" s="3" t="inlineStr">
        <is>
          <t>TestScanCadence</t>
        </is>
      </c>
      <c r="E570" s="3" t="inlineStr">
        <is>
          <t>test_the_due_date_moves_forward_after_a_scan</t>
        </is>
      </c>
      <c r="F570" s="3" t="inlineStr">
        <is>
          <t>whole class</t>
        </is>
      </c>
      <c r="G570" s="2" t="n">
        <v>8</v>
      </c>
      <c r="H570" s="2" t="n">
        <v>8</v>
      </c>
      <c r="I570" s="3" t="inlineStr">
        <is>
          <t>consilium/policy/tests/test_horizon.py</t>
        </is>
      </c>
    </row>
    <row r="571" ht="17" customHeight="1">
      <c r="A571" s="2" t="inlineStr">
        <is>
          <t>P-8</t>
        </is>
      </c>
      <c r="B571" s="3" t="inlineStr">
        <is>
          <t>POL</t>
        </is>
      </c>
      <c r="C571" s="3" t="inlineStr">
        <is>
          <t>policy.tests.test_horizon</t>
        </is>
      </c>
      <c r="D571" s="3" t="inlineStr">
        <is>
          <t>TestScanCadence</t>
        </is>
      </c>
      <c r="E571" s="3" t="inlineStr">
        <is>
          <t>test_the_scan_stores_the_due_date_it_was_answering</t>
        </is>
      </c>
      <c r="F571" s="3" t="inlineStr">
        <is>
          <t>whole class</t>
        </is>
      </c>
      <c r="G571" s="2" t="n">
        <v>8</v>
      </c>
      <c r="H571" s="2" t="n">
        <v>8</v>
      </c>
      <c r="I571" s="3" t="inlineStr">
        <is>
          <t>consilium/policy/tests/test_horizon.py</t>
        </is>
      </c>
    </row>
    <row r="572" ht="30" customHeight="1">
      <c r="A572" s="2" t="inlineStr">
        <is>
          <t>P-8</t>
        </is>
      </c>
      <c r="B572" s="3" t="inlineStr">
        <is>
          <t>POL</t>
        </is>
      </c>
      <c r="C572" s="3" t="inlineStr">
        <is>
          <t>policy.tests.test_horizon</t>
        </is>
      </c>
      <c r="D572" s="3" t="inlineStr">
        <is>
          <t>TestScanCadence</t>
        </is>
      </c>
      <c r="E572" s="3" t="inlineStr">
        <is>
          <t>test_a_document_with_no_cadence_falls_back_to_twelve_months</t>
        </is>
      </c>
      <c r="F572" s="3" t="inlineStr">
        <is>
          <t>whole class</t>
        </is>
      </c>
      <c r="G572" s="2" t="n">
        <v>8</v>
      </c>
      <c r="H572" s="2" t="n">
        <v>8</v>
      </c>
      <c r="I572" s="3" t="inlineStr">
        <is>
          <t>consilium/policy/tests/test_horizon.py</t>
        </is>
      </c>
    </row>
    <row r="573" ht="17" customHeight="1">
      <c r="A573" s="2" t="inlineStr">
        <is>
          <t>P-8</t>
        </is>
      </c>
      <c r="B573" s="3" t="inlineStr">
        <is>
          <t>POL</t>
        </is>
      </c>
      <c r="C573" s="3" t="inlineStr">
        <is>
          <t>policy.tests.test_horizon</t>
        </is>
      </c>
      <c r="D573" s="3" t="inlineStr">
        <is>
          <t>TestScanCadence</t>
        </is>
      </c>
      <c r="E573" s="3" t="inlineStr">
        <is>
          <t>test_an_overdue_document_is_listed_and_its_owner_reminded</t>
        </is>
      </c>
      <c r="F573" s="3" t="inlineStr">
        <is>
          <t>whole class</t>
        </is>
      </c>
      <c r="G573" s="2" t="n">
        <v>8</v>
      </c>
      <c r="H573" s="2" t="n">
        <v>8</v>
      </c>
      <c r="I573" s="3" t="inlineStr">
        <is>
          <t>consilium/policy/tests/test_horizon.py</t>
        </is>
      </c>
    </row>
    <row r="574" ht="17" customHeight="1">
      <c r="A574" s="2" t="inlineStr">
        <is>
          <t>P-8</t>
        </is>
      </c>
      <c r="B574" s="3" t="inlineStr">
        <is>
          <t>POL</t>
        </is>
      </c>
      <c r="C574" s="3" t="inlineStr">
        <is>
          <t>policy.tests.test_horizon</t>
        </is>
      </c>
      <c r="D574" s="3" t="inlineStr">
        <is>
          <t>TestScanCadence</t>
        </is>
      </c>
      <c r="E574" s="3" t="inlineStr">
        <is>
          <t>test_an_overdue_reminder_escalates_to_the_sponsor</t>
        </is>
      </c>
      <c r="F574" s="3" t="inlineStr">
        <is>
          <t>whole class</t>
        </is>
      </c>
      <c r="G574" s="2" t="n">
        <v>8</v>
      </c>
      <c r="H574" s="2" t="n">
        <v>8</v>
      </c>
      <c r="I574" s="3" t="inlineStr">
        <is>
          <t>consilium/policy/tests/test_horizon.py</t>
        </is>
      </c>
    </row>
    <row r="575" ht="17" customHeight="1">
      <c r="A575" s="2" t="inlineStr">
        <is>
          <t>P-8</t>
        </is>
      </c>
      <c r="B575" s="3" t="inlineStr">
        <is>
          <t>POL</t>
        </is>
      </c>
      <c r="C575" s="3" t="inlineStr">
        <is>
          <t>policy.tests.test_horizon</t>
        </is>
      </c>
      <c r="D575" s="3" t="inlineStr">
        <is>
          <t>TestScanCadence</t>
        </is>
      </c>
      <c r="E575" s="3" t="inlineStr">
        <is>
          <t>test_a_document_not_in_force_is_not_chased</t>
        </is>
      </c>
      <c r="F575" s="3" t="inlineStr">
        <is>
          <t>whole class</t>
        </is>
      </c>
      <c r="G575" s="2" t="n">
        <v>8</v>
      </c>
      <c r="H575" s="2" t="n">
        <v>8</v>
      </c>
      <c r="I575" s="3" t="inlineStr">
        <is>
          <t>consilium/policy/tests/test_horizon.py</t>
        </is>
      </c>
    </row>
    <row r="576" ht="17" customHeight="1">
      <c r="A576" s="2" t="inlineStr">
        <is>
          <t>P-8</t>
        </is>
      </c>
      <c r="B576" s="3" t="inlineStr">
        <is>
          <t>POL</t>
        </is>
      </c>
      <c r="C576" s="3" t="inlineStr">
        <is>
          <t>policy.tests.test_horizon</t>
        </is>
      </c>
      <c r="D576" s="3" t="inlineStr">
        <is>
          <t>TestScanCadence</t>
        </is>
      </c>
      <c r="E576" s="3" t="inlineStr">
        <is>
          <t>test_coverage_reports_the_areas_a_scan_did_not_reach</t>
        </is>
      </c>
      <c r="F576" s="3" t="inlineStr">
        <is>
          <t>whole class</t>
        </is>
      </c>
      <c r="G576" s="2" t="n">
        <v>8</v>
      </c>
      <c r="H576" s="2" t="n">
        <v>8</v>
      </c>
      <c r="I576" s="3" t="inlineStr">
        <is>
          <t>consilium/policy/tests/test_horizon.py</t>
        </is>
      </c>
    </row>
    <row r="577" ht="17" customHeight="1">
      <c r="A577" s="2" t="inlineStr">
        <is>
          <t>P-8</t>
        </is>
      </c>
      <c r="B577" s="3" t="inlineStr">
        <is>
          <t>POL</t>
        </is>
      </c>
      <c r="C577" s="3" t="inlineStr">
        <is>
          <t>policy.tests.test_horizon</t>
        </is>
      </c>
      <c r="D577" s="3" t="inlineStr">
        <is>
          <t>TestScanTriggersReview</t>
        </is>
      </c>
      <c r="E577" s="3" t="inlineStr">
        <is>
          <t>test_a_review_triggered_assessment_opens_a_review_cycle</t>
        </is>
      </c>
      <c r="F577" s="3" t="inlineStr">
        <is>
          <t>whole class</t>
        </is>
      </c>
      <c r="G577" s="2" t="n">
        <v>5</v>
      </c>
      <c r="H577" s="2" t="n">
        <v>5</v>
      </c>
      <c r="I577" s="3" t="inlineStr">
        <is>
          <t>consilium/policy/tests/test_horizon.py</t>
        </is>
      </c>
    </row>
    <row r="578" ht="17" customHeight="1">
      <c r="A578" s="2" t="inlineStr">
        <is>
          <t>P-8</t>
        </is>
      </c>
      <c r="B578" s="3" t="inlineStr">
        <is>
          <t>POL</t>
        </is>
      </c>
      <c r="C578" s="3" t="inlineStr">
        <is>
          <t>policy.tests.test_horizon</t>
        </is>
      </c>
      <c r="D578" s="3" t="inlineStr">
        <is>
          <t>TestScanTriggersReview</t>
        </is>
      </c>
      <c r="E578" s="3" t="inlineStr">
        <is>
          <t>test_an_immediate_update_assessment_also_opens_one</t>
        </is>
      </c>
      <c r="F578" s="3" t="inlineStr">
        <is>
          <t>whole class</t>
        </is>
      </c>
      <c r="G578" s="2" t="n">
        <v>5</v>
      </c>
      <c r="H578" s="2" t="n">
        <v>5</v>
      </c>
      <c r="I578" s="3" t="inlineStr">
        <is>
          <t>consilium/policy/tests/test_horizon.py</t>
        </is>
      </c>
    </row>
    <row r="579" ht="17" customHeight="1">
      <c r="A579" s="2" t="inlineStr">
        <is>
          <t>P-8</t>
        </is>
      </c>
      <c r="B579" s="3" t="inlineStr">
        <is>
          <t>POL</t>
        </is>
      </c>
      <c r="C579" s="3" t="inlineStr">
        <is>
          <t>policy.tests.test_horizon</t>
        </is>
      </c>
      <c r="D579" s="3" t="inlineStr">
        <is>
          <t>TestScanTriggersReview</t>
        </is>
      </c>
      <c r="E579" s="3" t="inlineStr">
        <is>
          <t>test_no_change_opens_nothing</t>
        </is>
      </c>
      <c r="F579" s="3" t="inlineStr">
        <is>
          <t>whole class</t>
        </is>
      </c>
      <c r="G579" s="2" t="n">
        <v>5</v>
      </c>
      <c r="H579" s="2" t="n">
        <v>5</v>
      </c>
      <c r="I579" s="3" t="inlineStr">
        <is>
          <t>consilium/policy/tests/test_horizon.py</t>
        </is>
      </c>
    </row>
    <row r="580" ht="17" customHeight="1">
      <c r="A580" s="2" t="inlineStr">
        <is>
          <t>P-8</t>
        </is>
      </c>
      <c r="B580" s="3" t="inlineStr">
        <is>
          <t>POL</t>
        </is>
      </c>
      <c r="C580" s="3" t="inlineStr">
        <is>
          <t>policy.tests.test_horizon</t>
        </is>
      </c>
      <c r="D580" s="3" t="inlineStr">
        <is>
          <t>TestScanTriggersReview</t>
        </is>
      </c>
      <c r="E580" s="3" t="inlineStr">
        <is>
          <t>test_the_review_cycle_is_not_duplicated_on_re_save</t>
        </is>
      </c>
      <c r="F580" s="3" t="inlineStr">
        <is>
          <t>whole class</t>
        </is>
      </c>
      <c r="G580" s="2" t="n">
        <v>5</v>
      </c>
      <c r="H580" s="2" t="n">
        <v>5</v>
      </c>
      <c r="I580" s="3" t="inlineStr">
        <is>
          <t>consilium/policy/tests/test_horizon.py</t>
        </is>
      </c>
    </row>
    <row r="581" ht="17" customHeight="1">
      <c r="A581" s="2" t="inlineStr">
        <is>
          <t>P-8</t>
        </is>
      </c>
      <c r="B581" s="3" t="inlineStr">
        <is>
          <t>POL</t>
        </is>
      </c>
      <c r="C581" s="3" t="inlineStr">
        <is>
          <t>policy.tests.test_horizon</t>
        </is>
      </c>
      <c r="D581" s="3" t="inlineStr">
        <is>
          <t>TestScanTriggersReview</t>
        </is>
      </c>
      <c r="E581" s="3" t="inlineStr">
        <is>
          <t>test_the_cycle_links_back_to_the_scan_that_caused_it</t>
        </is>
      </c>
      <c r="F581" s="3" t="inlineStr">
        <is>
          <t>whole class</t>
        </is>
      </c>
      <c r="G581" s="2" t="n">
        <v>5</v>
      </c>
      <c r="H581" s="2" t="n">
        <v>5</v>
      </c>
      <c r="I581" s="3" t="inlineStr">
        <is>
          <t>consilium/policy/tests/test_horizon.py</t>
        </is>
      </c>
    </row>
    <row r="582" ht="17" customHeight="1">
      <c r="A582" s="2" t="inlineStr">
        <is>
          <t>P-8</t>
        </is>
      </c>
      <c r="B582" s="3" t="inlineStr">
        <is>
          <t>POL</t>
        </is>
      </c>
      <c r="C582" s="3" t="inlineStr">
        <is>
          <t>policy.tests.test_entities</t>
        </is>
      </c>
      <c r="D582" s="3" t="inlineStr">
        <is>
          <t>TestExemptionLifecycle</t>
        </is>
      </c>
      <c r="E582" s="3" t="inlineStr">
        <is>
          <t>test_a_requested_exemption_is_not_yet_in_force</t>
        </is>
      </c>
      <c r="F582" s="3" t="inlineStr">
        <is>
          <t>whole class</t>
        </is>
      </c>
      <c r="G582" s="2" t="n">
        <v>5</v>
      </c>
      <c r="H582" s="2" t="n">
        <v>5</v>
      </c>
      <c r="I582" s="3" t="inlineStr">
        <is>
          <t>consilium/policy/tests/test_entities.py</t>
        </is>
      </c>
    </row>
    <row r="583" ht="30" customHeight="1">
      <c r="A583" s="2" t="inlineStr">
        <is>
          <t>P-8</t>
        </is>
      </c>
      <c r="B583" s="3" t="inlineStr">
        <is>
          <t>POL</t>
        </is>
      </c>
      <c r="C583" s="3" t="inlineStr">
        <is>
          <t>policy.tests.test_entities</t>
        </is>
      </c>
      <c r="D583" s="3" t="inlineStr">
        <is>
          <t>TestExemptionLifecycle</t>
        </is>
      </c>
      <c r="E583" s="3" t="inlineStr">
        <is>
          <t>test_authorising_puts_it_in_force_and_names_the_authoriser</t>
        </is>
      </c>
      <c r="F583" s="3" t="inlineStr">
        <is>
          <t>whole class</t>
        </is>
      </c>
      <c r="G583" s="2" t="n">
        <v>5</v>
      </c>
      <c r="H583" s="2" t="n">
        <v>5</v>
      </c>
      <c r="I583" s="3" t="inlineStr">
        <is>
          <t>consilium/policy/tests/test_entities.py</t>
        </is>
      </c>
    </row>
    <row r="584" ht="17" customHeight="1">
      <c r="A584" s="2" t="inlineStr">
        <is>
          <t>P-8</t>
        </is>
      </c>
      <c r="B584" s="3" t="inlineStr">
        <is>
          <t>POL</t>
        </is>
      </c>
      <c r="C584" s="3" t="inlineStr">
        <is>
          <t>policy.tests.test_entities</t>
        </is>
      </c>
      <c r="D584" s="3" t="inlineStr">
        <is>
          <t>TestExemptionLifecycle</t>
        </is>
      </c>
      <c r="E584" s="3" t="inlineStr">
        <is>
          <t>test_an_exemption_cannot_expire_before_it_begins</t>
        </is>
      </c>
      <c r="F584" s="3" t="inlineStr">
        <is>
          <t>whole class</t>
        </is>
      </c>
      <c r="G584" s="2" t="n">
        <v>5</v>
      </c>
      <c r="H584" s="2" t="n">
        <v>5</v>
      </c>
      <c r="I584" s="3" t="inlineStr">
        <is>
          <t>consilium/policy/tests/test_entities.py</t>
        </is>
      </c>
    </row>
    <row r="585" ht="30" customHeight="1">
      <c r="A585" s="2" t="inlineStr">
        <is>
          <t>P-8</t>
        </is>
      </c>
      <c r="B585" s="3" t="inlineStr">
        <is>
          <t>POL</t>
        </is>
      </c>
      <c r="C585" s="3" t="inlineStr">
        <is>
          <t>policy.tests.test_entities</t>
        </is>
      </c>
      <c r="D585" s="3" t="inlineStr">
        <is>
          <t>TestExemptionLifecycle</t>
        </is>
      </c>
      <c r="E585" s="3" t="inlineStr">
        <is>
          <t>test_an_expired_exemption_lapses_and_stops_excusing_the_scope</t>
        </is>
      </c>
      <c r="F585" s="3" t="inlineStr">
        <is>
          <t>whole class</t>
        </is>
      </c>
      <c r="G585" s="2" t="n">
        <v>5</v>
      </c>
      <c r="H585" s="2" t="n">
        <v>5</v>
      </c>
      <c r="I585" s="3" t="inlineStr">
        <is>
          <t>consilium/policy/tests/test_entities.py</t>
        </is>
      </c>
    </row>
    <row r="586" ht="17" customHeight="1">
      <c r="A586" s="2" t="inlineStr">
        <is>
          <t>P-8</t>
        </is>
      </c>
      <c r="B586" s="3" t="inlineStr">
        <is>
          <t>POL</t>
        </is>
      </c>
      <c r="C586" s="3" t="inlineStr">
        <is>
          <t>policy.tests.test_entities</t>
        </is>
      </c>
      <c r="D586" s="3" t="inlineStr">
        <is>
          <t>TestExemptionLifecycle</t>
        </is>
      </c>
      <c r="E586" s="3" t="inlineStr">
        <is>
          <t>test_a_reviewer_cannot_authorise_an_exemption</t>
        </is>
      </c>
      <c r="F586" s="3" t="inlineStr">
        <is>
          <t>whole class</t>
        </is>
      </c>
      <c r="G586" s="2" t="n">
        <v>5</v>
      </c>
      <c r="H586" s="2" t="n">
        <v>5</v>
      </c>
      <c r="I586" s="3" t="inlineStr">
        <is>
          <t>consilium/policy/tests/test_entities.py</t>
        </is>
      </c>
    </row>
    <row r="587" ht="30" customHeight="1">
      <c r="A587" s="2" t="inlineStr">
        <is>
          <t>P-8</t>
        </is>
      </c>
      <c r="B587" s="3" t="inlineStr">
        <is>
          <t>POL</t>
        </is>
      </c>
      <c r="C587" s="3" t="inlineStr">
        <is>
          <t>consilium_core.tests.test_w3_guides_core</t>
        </is>
      </c>
      <c r="D587" s="3" t="inlineStr">
        <is>
          <t>TestCampaignReminderSchedule</t>
        </is>
      </c>
      <c r="E587" s="3" t="inlineStr">
        <is>
          <t>test_reminders_follow_the_schedule_once_per_point</t>
        </is>
      </c>
      <c r="F587" s="3" t="inlineStr">
        <is>
          <t>whole class</t>
        </is>
      </c>
      <c r="G587" s="2" t="n">
        <v>4</v>
      </c>
      <c r="H587" s="2" t="n">
        <v>4</v>
      </c>
      <c r="I587" s="3" t="inlineStr">
        <is>
          <t>consilium/consilium_core/tests/test_w3_guides_core.py</t>
        </is>
      </c>
    </row>
    <row r="588" ht="30" customHeight="1">
      <c r="A588" s="2" t="inlineStr">
        <is>
          <t>P-8</t>
        </is>
      </c>
      <c r="B588" s="3" t="inlineStr">
        <is>
          <t>POL</t>
        </is>
      </c>
      <c r="C588" s="3" t="inlineStr">
        <is>
          <t>consilium_core.tests.test_w3_guides_core</t>
        </is>
      </c>
      <c r="D588" s="3" t="inlineStr">
        <is>
          <t>TestCampaignReminderSchedule</t>
        </is>
      </c>
      <c r="E588" s="3" t="inlineStr">
        <is>
          <t>test_an_answered_task_is_not_chased</t>
        </is>
      </c>
      <c r="F588" s="3" t="inlineStr">
        <is>
          <t>whole class</t>
        </is>
      </c>
      <c r="G588" s="2" t="n">
        <v>4</v>
      </c>
      <c r="H588" s="2" t="n">
        <v>4</v>
      </c>
      <c r="I588" s="3" t="inlineStr">
        <is>
          <t>consilium/consilium_core/tests/test_w3_guides_core.py</t>
        </is>
      </c>
    </row>
    <row r="589" ht="30" customHeight="1">
      <c r="A589" s="2" t="inlineStr">
        <is>
          <t>P-8</t>
        </is>
      </c>
      <c r="B589" s="3" t="inlineStr">
        <is>
          <t>POL</t>
        </is>
      </c>
      <c r="C589" s="3" t="inlineStr">
        <is>
          <t>consilium_core.tests.test_w3_guides_core</t>
        </is>
      </c>
      <c r="D589" s="3" t="inlineStr">
        <is>
          <t>TestCampaignReminderSchedule</t>
        </is>
      </c>
      <c r="E589" s="3" t="inlineStr">
        <is>
          <t>test_a_campaign_with_no_schedule_sends_nothing</t>
        </is>
      </c>
      <c r="F589" s="3" t="inlineStr">
        <is>
          <t>whole class</t>
        </is>
      </c>
      <c r="G589" s="2" t="n">
        <v>4</v>
      </c>
      <c r="H589" s="2" t="n">
        <v>4</v>
      </c>
      <c r="I589" s="3" t="inlineStr">
        <is>
          <t>consilium/consilium_core/tests/test_w3_guides_core.py</t>
        </is>
      </c>
    </row>
    <row r="590" ht="30" customHeight="1">
      <c r="A590" s="2" t="inlineStr">
        <is>
          <t>P-8</t>
        </is>
      </c>
      <c r="B590" s="3" t="inlineStr">
        <is>
          <t>POL</t>
        </is>
      </c>
      <c r="C590" s="3" t="inlineStr">
        <is>
          <t>consilium_core.tests.test_w3_guides_core</t>
        </is>
      </c>
      <c r="D590" s="3" t="inlineStr">
        <is>
          <t>TestCampaignReminderSchedule</t>
        </is>
      </c>
      <c r="E590" s="3" t="inlineStr">
        <is>
          <t>test_the_daily_job_runs_it</t>
        </is>
      </c>
      <c r="F590" s="3" t="inlineStr">
        <is>
          <t>whole class</t>
        </is>
      </c>
      <c r="G590" s="2" t="n">
        <v>4</v>
      </c>
      <c r="H590" s="2" t="n">
        <v>4</v>
      </c>
      <c r="I590" s="3" t="inlineStr">
        <is>
          <t>consilium/consilium_core/tests/test_w3_guides_core.py</t>
        </is>
      </c>
    </row>
    <row r="591" ht="17" customHeight="1">
      <c r="A591" s="2" t="inlineStr">
        <is>
          <t>P-9</t>
        </is>
      </c>
      <c r="B591" s="3" t="inlineStr">
        <is>
          <t>POL</t>
        </is>
      </c>
      <c r="C591" s="3" t="inlineStr">
        <is>
          <t>policy.tests.test_portal_actions</t>
        </is>
      </c>
      <c r="D591" s="3" t="inlineStr">
        <is>
          <t>TestVersions</t>
        </is>
      </c>
      <c r="E591" s="3" t="inlineStr">
        <is>
          <t>test_the_owner_uploads_a_new_version_as_text</t>
        </is>
      </c>
      <c r="F591" s="3" t="inlineStr">
        <is>
          <t>whole class</t>
        </is>
      </c>
      <c r="G591" s="2" t="n">
        <v>9</v>
      </c>
      <c r="H591" s="2" t="n">
        <v>9</v>
      </c>
      <c r="I591" s="3" t="inlineStr">
        <is>
          <t>consilium/policy/tests/test_portal_actions.py</t>
        </is>
      </c>
    </row>
    <row r="592" ht="17" customHeight="1">
      <c r="A592" s="2" t="inlineStr">
        <is>
          <t>P-9</t>
        </is>
      </c>
      <c r="B592" s="3" t="inlineStr">
        <is>
          <t>POL</t>
        </is>
      </c>
      <c r="C592" s="3" t="inlineStr">
        <is>
          <t>policy.tests.test_portal_actions</t>
        </is>
      </c>
      <c r="D592" s="3" t="inlineStr">
        <is>
          <t>TestVersions</t>
        </is>
      </c>
      <c r="E592" s="3" t="inlineStr">
        <is>
          <t>test_a_file_attached_to_the_document_becomes_a_version</t>
        </is>
      </c>
      <c r="F592" s="3" t="inlineStr">
        <is>
          <t>whole class</t>
        </is>
      </c>
      <c r="G592" s="2" t="n">
        <v>9</v>
      </c>
      <c r="H592" s="2" t="n">
        <v>9</v>
      </c>
      <c r="I592" s="3" t="inlineStr">
        <is>
          <t>consilium/policy/tests/test_portal_actions.py</t>
        </is>
      </c>
    </row>
    <row r="593" ht="17" customHeight="1">
      <c r="A593" s="2" t="inlineStr">
        <is>
          <t>P-9</t>
        </is>
      </c>
      <c r="B593" s="3" t="inlineStr">
        <is>
          <t>POL</t>
        </is>
      </c>
      <c r="C593" s="3" t="inlineStr">
        <is>
          <t>policy.tests.test_portal_actions</t>
        </is>
      </c>
      <c r="D593" s="3" t="inlineStr">
        <is>
          <t>TestVersions</t>
        </is>
      </c>
      <c r="E593" s="3" t="inlineStr">
        <is>
          <t>test_a_file_attached_elsewhere_is_refused</t>
        </is>
      </c>
      <c r="F593" s="3" t="inlineStr">
        <is>
          <t>whole class</t>
        </is>
      </c>
      <c r="G593" s="2" t="n">
        <v>9</v>
      </c>
      <c r="H593" s="2" t="n">
        <v>9</v>
      </c>
      <c r="I593" s="3" t="inlineStr">
        <is>
          <t>consilium/policy/tests/test_portal_actions.py</t>
        </is>
      </c>
    </row>
    <row r="594" ht="17" customHeight="1">
      <c r="A594" s="2" t="inlineStr">
        <is>
          <t>P-9</t>
        </is>
      </c>
      <c r="B594" s="3" t="inlineStr">
        <is>
          <t>POL</t>
        </is>
      </c>
      <c r="C594" s="3" t="inlineStr">
        <is>
          <t>policy.tests.test_portal_actions</t>
        </is>
      </c>
      <c r="D594" s="3" t="inlineStr">
        <is>
          <t>TestVersions</t>
        </is>
      </c>
      <c r="E594" s="3" t="inlineStr">
        <is>
          <t>test_a_version_needs_a_body</t>
        </is>
      </c>
      <c r="F594" s="3" t="inlineStr">
        <is>
          <t>whole class</t>
        </is>
      </c>
      <c r="G594" s="2" t="n">
        <v>9</v>
      </c>
      <c r="H594" s="2" t="n">
        <v>9</v>
      </c>
      <c r="I594" s="3" t="inlineStr">
        <is>
          <t>consilium/policy/tests/test_portal_actions.py</t>
        </is>
      </c>
    </row>
    <row r="595" ht="17" customHeight="1">
      <c r="A595" s="2" t="inlineStr">
        <is>
          <t>P-9</t>
        </is>
      </c>
      <c r="B595" s="3" t="inlineStr">
        <is>
          <t>POL</t>
        </is>
      </c>
      <c r="C595" s="3" t="inlineStr">
        <is>
          <t>policy.tests.test_portal_actions</t>
        </is>
      </c>
      <c r="D595" s="3" t="inlineStr">
        <is>
          <t>TestVersions</t>
        </is>
      </c>
      <c r="E595" s="3" t="inlineStr">
        <is>
          <t>test_no_version_is_taken_once_the_document_is_settled</t>
        </is>
      </c>
      <c r="F595" s="3" t="inlineStr">
        <is>
          <t>whole class</t>
        </is>
      </c>
      <c r="G595" s="2" t="n">
        <v>9</v>
      </c>
      <c r="H595" s="2" t="n">
        <v>9</v>
      </c>
      <c r="I595" s="3" t="inlineStr">
        <is>
          <t>consilium/policy/tests/test_portal_actions.py</t>
        </is>
      </c>
    </row>
    <row r="596" ht="17" customHeight="1">
      <c r="A596" s="2" t="inlineStr">
        <is>
          <t>P-9</t>
        </is>
      </c>
      <c r="B596" s="3" t="inlineStr">
        <is>
          <t>POL</t>
        </is>
      </c>
      <c r="C596" s="3" t="inlineStr">
        <is>
          <t>policy.tests.test_portal_actions</t>
        </is>
      </c>
      <c r="D596" s="3" t="inlineStr">
        <is>
          <t>TestVersions</t>
        </is>
      </c>
      <c r="E596" s="3" t="inlineStr">
        <is>
          <t>test_a_reviewer_cannot_upload_a_version</t>
        </is>
      </c>
      <c r="F596" s="3" t="inlineStr">
        <is>
          <t>whole class</t>
        </is>
      </c>
      <c r="G596" s="2" t="n">
        <v>9</v>
      </c>
      <c r="H596" s="2" t="n">
        <v>9</v>
      </c>
      <c r="I596" s="3" t="inlineStr">
        <is>
          <t>consilium/policy/tests/test_portal_actions.py</t>
        </is>
      </c>
    </row>
    <row r="597" ht="17" customHeight="1">
      <c r="A597" s="2" t="inlineStr">
        <is>
          <t>P-9</t>
        </is>
      </c>
      <c r="B597" s="3" t="inlineStr">
        <is>
          <t>POL</t>
        </is>
      </c>
      <c r="C597" s="3" t="inlineStr">
        <is>
          <t>policy.tests.test_portal_actions</t>
        </is>
      </c>
      <c r="D597" s="3" t="inlineStr">
        <is>
          <t>TestVersions</t>
        </is>
      </c>
      <c r="E597" s="3" t="inlineStr">
        <is>
          <t>test_a_revert_writes_a_new_version</t>
        </is>
      </c>
      <c r="F597" s="3" t="inlineStr">
        <is>
          <t>whole class</t>
        </is>
      </c>
      <c r="G597" s="2" t="n">
        <v>9</v>
      </c>
      <c r="H597" s="2" t="n">
        <v>9</v>
      </c>
      <c r="I597" s="3" t="inlineStr">
        <is>
          <t>consilium/policy/tests/test_portal_actions.py</t>
        </is>
      </c>
    </row>
    <row r="598" ht="17" customHeight="1">
      <c r="A598" s="2" t="inlineStr">
        <is>
          <t>P-9</t>
        </is>
      </c>
      <c r="B598" s="3" t="inlineStr">
        <is>
          <t>POL</t>
        </is>
      </c>
      <c r="C598" s="3" t="inlineStr">
        <is>
          <t>policy.tests.test_portal_actions</t>
        </is>
      </c>
      <c r="D598" s="3" t="inlineStr">
        <is>
          <t>TestVersions</t>
        </is>
      </c>
      <c r="E598" s="3" t="inlineStr">
        <is>
          <t>test_a_revert_across_phases_is_refused</t>
        </is>
      </c>
      <c r="F598" s="3" t="inlineStr">
        <is>
          <t>whole class</t>
        </is>
      </c>
      <c r="G598" s="2" t="n">
        <v>9</v>
      </c>
      <c r="H598" s="2" t="n">
        <v>9</v>
      </c>
      <c r="I598" s="3" t="inlineStr">
        <is>
          <t>consilium/policy/tests/test_portal_actions.py</t>
        </is>
      </c>
    </row>
    <row r="599" ht="17" customHeight="1">
      <c r="A599" s="2" t="inlineStr">
        <is>
          <t>P-9</t>
        </is>
      </c>
      <c r="B599" s="3" t="inlineStr">
        <is>
          <t>POL</t>
        </is>
      </c>
      <c r="C599" s="3" t="inlineStr">
        <is>
          <t>policy.tests.test_portal_actions</t>
        </is>
      </c>
      <c r="D599" s="3" t="inlineStr">
        <is>
          <t>TestVersions</t>
        </is>
      </c>
      <c r="E599" s="3" t="inlineStr">
        <is>
          <t>test_a_revert_needs_its_justification</t>
        </is>
      </c>
      <c r="F599" s="3" t="inlineStr">
        <is>
          <t>whole class</t>
        </is>
      </c>
      <c r="G599" s="2" t="n">
        <v>9</v>
      </c>
      <c r="H599" s="2" t="n">
        <v>9</v>
      </c>
      <c r="I599" s="3" t="inlineStr">
        <is>
          <t>consilium/policy/tests/test_portal_actions.py</t>
        </is>
      </c>
    </row>
    <row r="600" ht="17" customHeight="1">
      <c r="A600" s="2" t="inlineStr">
        <is>
          <t>P-9</t>
        </is>
      </c>
      <c r="B600" s="3" t="inlineStr">
        <is>
          <t>POL</t>
        </is>
      </c>
      <c r="C600" s="3" t="inlineStr">
        <is>
          <t>policy.tests.test_wave3_policy</t>
        </is>
      </c>
      <c r="D600" s="3" t="inlineStr">
        <is>
          <t>TestRevertLeavesTheLifecycleAlone</t>
        </is>
      </c>
      <c r="E600" s="3" t="inlineStr">
        <is>
          <t>test_reverting_restores_the_content_but_not_the_phase</t>
        </is>
      </c>
      <c r="F600" s="3" t="inlineStr">
        <is>
          <t>whole class</t>
        </is>
      </c>
      <c r="G600" s="2" t="n">
        <v>1</v>
      </c>
      <c r="H600" s="2" t="n">
        <v>1</v>
      </c>
      <c r="I600" s="3" t="inlineStr">
        <is>
          <t>consilium/policy/tests/test_wave3_policy.py</t>
        </is>
      </c>
    </row>
    <row r="601" ht="17" customHeight="1">
      <c r="A601" s="2" t="inlineStr">
        <is>
          <t>P-9</t>
        </is>
      </c>
      <c r="B601" s="3" t="inlineStr">
        <is>
          <t>POL</t>
        </is>
      </c>
      <c r="C601" s="3" t="inlineStr">
        <is>
          <t>policy.tests.test_lifecycle</t>
        </is>
      </c>
      <c r="D601" s="3" t="inlineStr">
        <is>
          <t>TestVersioningAndPublication</t>
        </is>
      </c>
      <c r="E601" s="3" t="inlineStr">
        <is>
          <t>test_revert_writes_a_new_version_and_never_rewrites_one</t>
        </is>
      </c>
      <c r="F601" s="3" t="inlineStr">
        <is>
          <t>named method</t>
        </is>
      </c>
      <c r="G601" s="2" t="n"/>
      <c r="H601" s="2" t="n">
        <v>1</v>
      </c>
      <c r="I601" s="3" t="inlineStr">
        <is>
          <t>consilium/policy/tests/test_lifecycle.py</t>
        </is>
      </c>
    </row>
    <row r="602" ht="17" customHeight="1">
      <c r="A602" s="2" t="inlineStr">
        <is>
          <t>P-9</t>
        </is>
      </c>
      <c r="B602" s="3" t="inlineStr">
        <is>
          <t>POL</t>
        </is>
      </c>
      <c r="C602" s="3" t="inlineStr">
        <is>
          <t>consilium_core.tests.test_versioning</t>
        </is>
      </c>
      <c r="D602" s="3" t="inlineStr">
        <is>
          <t>TestVersioning</t>
        </is>
      </c>
      <c r="E602" s="3" t="inlineStr">
        <is>
          <t>test_chain_is_numbered_and_linked</t>
        </is>
      </c>
      <c r="F602" s="3" t="inlineStr">
        <is>
          <t>whole class</t>
        </is>
      </c>
      <c r="G602" s="2" t="n">
        <v>9</v>
      </c>
      <c r="H602" s="2" t="n">
        <v>9</v>
      </c>
      <c r="I602" s="3" t="inlineStr">
        <is>
          <t>consilium/consilium_core/tests/test_versioning.py</t>
        </is>
      </c>
    </row>
    <row r="603" ht="17" customHeight="1">
      <c r="A603" s="2" t="inlineStr">
        <is>
          <t>P-9</t>
        </is>
      </c>
      <c r="B603" s="3" t="inlineStr">
        <is>
          <t>POL</t>
        </is>
      </c>
      <c r="C603" s="3" t="inlineStr">
        <is>
          <t>consilium_core.tests.test_versioning</t>
        </is>
      </c>
      <c r="D603" s="3" t="inlineStr">
        <is>
          <t>TestVersioning</t>
        </is>
      </c>
      <c r="E603" s="3" t="inlineStr">
        <is>
          <t>test_snapshot_holds_the_field_state</t>
        </is>
      </c>
      <c r="F603" s="3" t="inlineStr">
        <is>
          <t>whole class</t>
        </is>
      </c>
      <c r="G603" s="2" t="n">
        <v>9</v>
      </c>
      <c r="H603" s="2" t="n">
        <v>9</v>
      </c>
      <c r="I603" s="3" t="inlineStr">
        <is>
          <t>consilium/consilium_core/tests/test_versioning.py</t>
        </is>
      </c>
    </row>
    <row r="604" ht="17" customHeight="1">
      <c r="A604" s="2" t="inlineStr">
        <is>
          <t>P-9</t>
        </is>
      </c>
      <c r="B604" s="3" t="inlineStr">
        <is>
          <t>POL</t>
        </is>
      </c>
      <c r="C604" s="3" t="inlineStr">
        <is>
          <t>consilium_core.tests.test_versioning</t>
        </is>
      </c>
      <c r="D604" s="3" t="inlineStr">
        <is>
          <t>TestVersioning</t>
        </is>
      </c>
      <c r="E604" s="3" t="inlineStr">
        <is>
          <t>test_revert_writes_a_new_version_and_keeps_history</t>
        </is>
      </c>
      <c r="F604" s="3" t="inlineStr">
        <is>
          <t>whole class</t>
        </is>
      </c>
      <c r="G604" s="2" t="n">
        <v>9</v>
      </c>
      <c r="H604" s="2" t="n">
        <v>9</v>
      </c>
      <c r="I604" s="3" t="inlineStr">
        <is>
          <t>consilium/consilium_core/tests/test_versioning.py</t>
        </is>
      </c>
    </row>
    <row r="605" ht="17" customHeight="1">
      <c r="A605" s="2" t="inlineStr">
        <is>
          <t>P-9</t>
        </is>
      </c>
      <c r="B605" s="3" t="inlineStr">
        <is>
          <t>POL</t>
        </is>
      </c>
      <c r="C605" s="3" t="inlineStr">
        <is>
          <t>consilium_core.tests.test_versioning</t>
        </is>
      </c>
      <c r="D605" s="3" t="inlineStr">
        <is>
          <t>TestVersioning</t>
        </is>
      </c>
      <c r="E605" s="3" t="inlineStr">
        <is>
          <t>test_revert_without_a_reason_is_refused_and_audited</t>
        </is>
      </c>
      <c r="F605" s="3" t="inlineStr">
        <is>
          <t>whole class</t>
        </is>
      </c>
      <c r="G605" s="2" t="n">
        <v>9</v>
      </c>
      <c r="H605" s="2" t="n">
        <v>9</v>
      </c>
      <c r="I605" s="3" t="inlineStr">
        <is>
          <t>consilium/consilium_core/tests/test_versioning.py</t>
        </is>
      </c>
    </row>
    <row r="606" ht="17" customHeight="1">
      <c r="A606" s="2" t="inlineStr">
        <is>
          <t>P-9</t>
        </is>
      </c>
      <c r="B606" s="3" t="inlineStr">
        <is>
          <t>POL</t>
        </is>
      </c>
      <c r="C606" s="3" t="inlineStr">
        <is>
          <t>consilium_core.tests.test_versioning</t>
        </is>
      </c>
      <c r="D606" s="3" t="inlineStr">
        <is>
          <t>TestVersioning</t>
        </is>
      </c>
      <c r="E606" s="3" t="inlineStr">
        <is>
          <t>test_a_version_row_cannot_be_edited</t>
        </is>
      </c>
      <c r="F606" s="3" t="inlineStr">
        <is>
          <t>whole class</t>
        </is>
      </c>
      <c r="G606" s="2" t="n">
        <v>9</v>
      </c>
      <c r="H606" s="2" t="n">
        <v>9</v>
      </c>
      <c r="I606" s="3" t="inlineStr">
        <is>
          <t>consilium/consilium_core/tests/test_versioning.py</t>
        </is>
      </c>
    </row>
    <row r="607" ht="17" customHeight="1">
      <c r="A607" s="2" t="inlineStr">
        <is>
          <t>P-9</t>
        </is>
      </c>
      <c r="B607" s="3" t="inlineStr">
        <is>
          <t>POL</t>
        </is>
      </c>
      <c r="C607" s="3" t="inlineStr">
        <is>
          <t>consilium_core.tests.test_versioning</t>
        </is>
      </c>
      <c r="D607" s="3" t="inlineStr">
        <is>
          <t>TestVersioning</t>
        </is>
      </c>
      <c r="E607" s="3" t="inlineStr">
        <is>
          <t>test_a_version_row_cannot_be_deleted</t>
        </is>
      </c>
      <c r="F607" s="3" t="inlineStr">
        <is>
          <t>whole class</t>
        </is>
      </c>
      <c r="G607" s="2" t="n">
        <v>9</v>
      </c>
      <c r="H607" s="2" t="n">
        <v>9</v>
      </c>
      <c r="I607" s="3" t="inlineStr">
        <is>
          <t>consilium/consilium_core/tests/test_versioning.py</t>
        </is>
      </c>
    </row>
    <row r="608" ht="17" customHeight="1">
      <c r="A608" s="2" t="inlineStr">
        <is>
          <t>P-9</t>
        </is>
      </c>
      <c r="B608" s="3" t="inlineStr">
        <is>
          <t>POL</t>
        </is>
      </c>
      <c r="C608" s="3" t="inlineStr">
        <is>
          <t>consilium_core.tests.test_versioning</t>
        </is>
      </c>
      <c r="D608" s="3" t="inlineStr">
        <is>
          <t>TestVersioning</t>
        </is>
      </c>
      <c r="E608" s="3" t="inlineStr">
        <is>
          <t>test_revert_to_the_current_version_is_rejected</t>
        </is>
      </c>
      <c r="F608" s="3" t="inlineStr">
        <is>
          <t>whole class</t>
        </is>
      </c>
      <c r="G608" s="2" t="n">
        <v>9</v>
      </c>
      <c r="H608" s="2" t="n">
        <v>9</v>
      </c>
      <c r="I608" s="3" t="inlineStr">
        <is>
          <t>consilium/consilium_core/tests/test_versioning.py</t>
        </is>
      </c>
    </row>
    <row r="609" ht="17" customHeight="1">
      <c r="A609" s="2" t="inlineStr">
        <is>
          <t>P-9</t>
        </is>
      </c>
      <c r="B609" s="3" t="inlineStr">
        <is>
          <t>POL</t>
        </is>
      </c>
      <c r="C609" s="3" t="inlineStr">
        <is>
          <t>consilium_core.tests.test_versioning</t>
        </is>
      </c>
      <c r="D609" s="3" t="inlineStr">
        <is>
          <t>TestVersioning</t>
        </is>
      </c>
      <c r="E609" s="3" t="inlineStr">
        <is>
          <t>test_revert_to_a_foreign_version_is_rejected</t>
        </is>
      </c>
      <c r="F609" s="3" t="inlineStr">
        <is>
          <t>whole class</t>
        </is>
      </c>
      <c r="G609" s="2" t="n">
        <v>9</v>
      </c>
      <c r="H609" s="2" t="n">
        <v>9</v>
      </c>
      <c r="I609" s="3" t="inlineStr">
        <is>
          <t>consilium/consilium_core/tests/test_versioning.py</t>
        </is>
      </c>
    </row>
    <row r="610" ht="17" customHeight="1">
      <c r="A610" s="2" t="inlineStr">
        <is>
          <t>P-9</t>
        </is>
      </c>
      <c r="B610" s="3" t="inlineStr">
        <is>
          <t>POL</t>
        </is>
      </c>
      <c r="C610" s="3" t="inlineStr">
        <is>
          <t>consilium_core.tests.test_versioning</t>
        </is>
      </c>
      <c r="D610" s="3" t="inlineStr">
        <is>
          <t>TestVersioning</t>
        </is>
      </c>
      <c r="E610" s="3" t="inlineStr">
        <is>
          <t>test_two_current_versions_are_refused</t>
        </is>
      </c>
      <c r="F610" s="3" t="inlineStr">
        <is>
          <t>whole class</t>
        </is>
      </c>
      <c r="G610" s="2" t="n">
        <v>9</v>
      </c>
      <c r="H610" s="2" t="n">
        <v>9</v>
      </c>
      <c r="I610" s="3" t="inlineStr">
        <is>
          <t>consilium/consilium_core/tests/test_versioning.py</t>
        </is>
      </c>
    </row>
    <row r="611" ht="17" customHeight="1">
      <c r="A611" s="2" t="inlineStr">
        <is>
          <t>P-10</t>
        </is>
      </c>
      <c r="B611" s="3" t="inlineStr">
        <is>
          <t>POL</t>
        </is>
      </c>
      <c r="C611" s="3" t="inlineStr">
        <is>
          <t>consilium_core.tests.test_reminders</t>
        </is>
      </c>
      <c r="D611" s="3" t="inlineStr">
        <is>
          <t>TestDocumentReviewReminders</t>
        </is>
      </c>
      <c r="E611" s="3" t="inlineStr">
        <is>
          <t>test_the_owner_is_told_a_review_is_coming</t>
        </is>
      </c>
      <c r="F611" s="3" t="inlineStr">
        <is>
          <t>whole class</t>
        </is>
      </c>
      <c r="G611" s="2" t="n">
        <v>9</v>
      </c>
      <c r="H611" s="2" t="n">
        <v>9</v>
      </c>
      <c r="I611" s="3" t="inlineStr">
        <is>
          <t>consilium/consilium_core/tests/test_reminders.py</t>
        </is>
      </c>
    </row>
    <row r="612" ht="17" customHeight="1">
      <c r="A612" s="2" t="inlineStr">
        <is>
          <t>P-10</t>
        </is>
      </c>
      <c r="B612" s="3" t="inlineStr">
        <is>
          <t>POL</t>
        </is>
      </c>
      <c r="C612" s="3" t="inlineStr">
        <is>
          <t>consilium_core.tests.test_reminders</t>
        </is>
      </c>
      <c r="D612" s="3" t="inlineStr">
        <is>
          <t>TestDocumentReviewReminders</t>
        </is>
      </c>
      <c r="E612" s="3" t="inlineStr">
        <is>
          <t>test_nothing_is_sent_outside_the_notice_period</t>
        </is>
      </c>
      <c r="F612" s="3" t="inlineStr">
        <is>
          <t>whole class</t>
        </is>
      </c>
      <c r="G612" s="2" t="n">
        <v>9</v>
      </c>
      <c r="H612" s="2" t="n">
        <v>9</v>
      </c>
      <c r="I612" s="3" t="inlineStr">
        <is>
          <t>consilium/consilium_core/tests/test_reminders.py</t>
        </is>
      </c>
    </row>
    <row r="613" ht="17" customHeight="1">
      <c r="A613" s="2" t="inlineStr">
        <is>
          <t>P-10</t>
        </is>
      </c>
      <c r="B613" s="3" t="inlineStr">
        <is>
          <t>POL</t>
        </is>
      </c>
      <c r="C613" s="3" t="inlineStr">
        <is>
          <t>consilium_core.tests.test_reminders</t>
        </is>
      </c>
      <c r="D613" s="3" t="inlineStr">
        <is>
          <t>TestDocumentReviewReminders</t>
        </is>
      </c>
      <c r="E613" s="3" t="inlineStr">
        <is>
          <t>test_running_the_daily_job_twice_sends_one_reminder</t>
        </is>
      </c>
      <c r="F613" s="3" t="inlineStr">
        <is>
          <t>whole class</t>
        </is>
      </c>
      <c r="G613" s="2" t="n">
        <v>9</v>
      </c>
      <c r="H613" s="2" t="n">
        <v>9</v>
      </c>
      <c r="I613" s="3" t="inlineStr">
        <is>
          <t>consilium/consilium_core/tests/test_reminders.py</t>
        </is>
      </c>
    </row>
    <row r="614" ht="17" customHeight="1">
      <c r="A614" s="2" t="inlineStr">
        <is>
          <t>P-10</t>
        </is>
      </c>
      <c r="B614" s="3" t="inlineStr">
        <is>
          <t>POL</t>
        </is>
      </c>
      <c r="C614" s="3" t="inlineStr">
        <is>
          <t>consilium_core.tests.test_reminders</t>
        </is>
      </c>
      <c r="D614" s="3" t="inlineStr">
        <is>
          <t>TestDocumentReviewReminders</t>
        </is>
      </c>
      <c r="E614" s="3" t="inlineStr">
        <is>
          <t>test_an_overdue_review_is_chased_weekly_not_daily</t>
        </is>
      </c>
      <c r="F614" s="3" t="inlineStr">
        <is>
          <t>whole class</t>
        </is>
      </c>
      <c r="G614" s="2" t="n">
        <v>9</v>
      </c>
      <c r="H614" s="2" t="n">
        <v>9</v>
      </c>
      <c r="I614" s="3" t="inlineStr">
        <is>
          <t>consilium/consilium_core/tests/test_reminders.py</t>
        </is>
      </c>
    </row>
    <row r="615" ht="17" customHeight="1">
      <c r="A615" s="2" t="inlineStr">
        <is>
          <t>P-10</t>
        </is>
      </c>
      <c r="B615" s="3" t="inlineStr">
        <is>
          <t>POL</t>
        </is>
      </c>
      <c r="C615" s="3" t="inlineStr">
        <is>
          <t>consilium_core.tests.test_reminders</t>
        </is>
      </c>
      <c r="D615" s="3" t="inlineStr">
        <is>
          <t>TestDocumentReviewReminders</t>
        </is>
      </c>
      <c r="E615" s="3" t="inlineStr">
        <is>
          <t>test_a_long_overdue_review_is_escalated_to_the_approver</t>
        </is>
      </c>
      <c r="F615" s="3" t="inlineStr">
        <is>
          <t>whole class</t>
        </is>
      </c>
      <c r="G615" s="2" t="n">
        <v>9</v>
      </c>
      <c r="H615" s="2" t="n">
        <v>9</v>
      </c>
      <c r="I615" s="3" t="inlineStr">
        <is>
          <t>consilium/consilium_core/tests/test_reminders.py</t>
        </is>
      </c>
    </row>
    <row r="616" ht="17" customHeight="1">
      <c r="A616" s="2" t="inlineStr">
        <is>
          <t>P-10</t>
        </is>
      </c>
      <c r="B616" s="3" t="inlineStr">
        <is>
          <t>POL</t>
        </is>
      </c>
      <c r="C616" s="3" t="inlineStr">
        <is>
          <t>consilium_core.tests.test_reminders</t>
        </is>
      </c>
      <c r="D616" s="3" t="inlineStr">
        <is>
          <t>TestDocumentReviewReminders</t>
        </is>
      </c>
      <c r="E616" s="3" t="inlineStr">
        <is>
          <t>test_a_document_not_in_force_is_not_chased</t>
        </is>
      </c>
      <c r="F616" s="3" t="inlineStr">
        <is>
          <t>whole class</t>
        </is>
      </c>
      <c r="G616" s="2" t="n">
        <v>9</v>
      </c>
      <c r="H616" s="2" t="n">
        <v>9</v>
      </c>
      <c r="I616" s="3" t="inlineStr">
        <is>
          <t>consilium/consilium_core/tests/test_reminders.py</t>
        </is>
      </c>
    </row>
    <row r="617" ht="30" customHeight="1">
      <c r="A617" s="2" t="inlineStr">
        <is>
          <t>P-10</t>
        </is>
      </c>
      <c r="B617" s="3" t="inlineStr">
        <is>
          <t>POL</t>
        </is>
      </c>
      <c r="C617" s="3" t="inlineStr">
        <is>
          <t>consilium_core.tests.test_reminders</t>
        </is>
      </c>
      <c r="D617" s="3" t="inlineStr">
        <is>
          <t>TestDocumentReviewReminders</t>
        </is>
      </c>
      <c r="E617" s="3" t="inlineStr">
        <is>
          <t>test_an_open_review_cycle_takes_over_from_the_document_reminder</t>
        </is>
      </c>
      <c r="F617" s="3" t="inlineStr">
        <is>
          <t>whole class</t>
        </is>
      </c>
      <c r="G617" s="2" t="n">
        <v>9</v>
      </c>
      <c r="H617" s="2" t="n">
        <v>9</v>
      </c>
      <c r="I617" s="3" t="inlineStr">
        <is>
          <t>consilium/consilium_core/tests/test_reminders.py</t>
        </is>
      </c>
    </row>
    <row r="618" ht="17" customHeight="1">
      <c r="A618" s="2" t="inlineStr">
        <is>
          <t>P-10</t>
        </is>
      </c>
      <c r="B618" s="3" t="inlineStr">
        <is>
          <t>POL</t>
        </is>
      </c>
      <c r="C618" s="3" t="inlineStr">
        <is>
          <t>consilium_core.tests.test_reminders</t>
        </is>
      </c>
      <c r="D618" s="3" t="inlineStr">
        <is>
          <t>TestDocumentReviewReminders</t>
        </is>
      </c>
      <c r="E618" s="3" t="inlineStr">
        <is>
          <t>test_one_record_failing_does_not_stop_the_others</t>
        </is>
      </c>
      <c r="F618" s="3" t="inlineStr">
        <is>
          <t>whole class</t>
        </is>
      </c>
      <c r="G618" s="2" t="n">
        <v>9</v>
      </c>
      <c r="H618" s="2" t="n">
        <v>9</v>
      </c>
      <c r="I618" s="3" t="inlineStr">
        <is>
          <t>consilium/consilium_core/tests/test_reminders.py</t>
        </is>
      </c>
    </row>
    <row r="619" ht="17" customHeight="1">
      <c r="A619" s="2" t="inlineStr">
        <is>
          <t>P-10</t>
        </is>
      </c>
      <c r="B619" s="3" t="inlineStr">
        <is>
          <t>POL</t>
        </is>
      </c>
      <c r="C619" s="3" t="inlineStr">
        <is>
          <t>consilium_core.tests.test_reminders</t>
        </is>
      </c>
      <c r="D619" s="3" t="inlineStr">
        <is>
          <t>TestDocumentReviewReminders</t>
        </is>
      </c>
      <c r="E619" s="3" t="inlineStr">
        <is>
          <t>test_a_broken_template_still_reminds</t>
        </is>
      </c>
      <c r="F619" s="3" t="inlineStr">
        <is>
          <t>whole class</t>
        </is>
      </c>
      <c r="G619" s="2" t="n">
        <v>9</v>
      </c>
      <c r="H619" s="2" t="n">
        <v>9</v>
      </c>
      <c r="I619" s="3" t="inlineStr">
        <is>
          <t>consilium/consilium_core/tests/test_reminders.py</t>
        </is>
      </c>
    </row>
    <row r="620" ht="30" customHeight="1">
      <c r="A620" s="2" t="inlineStr">
        <is>
          <t>P-10</t>
        </is>
      </c>
      <c r="B620" s="3" t="inlineStr">
        <is>
          <t>POL</t>
        </is>
      </c>
      <c r="C620" s="3" t="inlineStr">
        <is>
          <t>policy.tests.test_portal_actions</t>
        </is>
      </c>
      <c r="D620" s="3" t="inlineStr">
        <is>
          <t>TestReviewsAndScans</t>
        </is>
      </c>
      <c r="E620" s="3" t="inlineStr">
        <is>
          <t>test_a_review_is_opened_once_and_concluded_with_its_outcome</t>
        </is>
      </c>
      <c r="F620" s="3" t="inlineStr">
        <is>
          <t>whole class</t>
        </is>
      </c>
      <c r="G620" s="2" t="n">
        <v>7</v>
      </c>
      <c r="H620" s="2" t="n">
        <v>7</v>
      </c>
      <c r="I620" s="3" t="inlineStr">
        <is>
          <t>consilium/policy/tests/test_portal_actions.py</t>
        </is>
      </c>
    </row>
    <row r="621" ht="17" customHeight="1">
      <c r="A621" s="2" t="inlineStr">
        <is>
          <t>P-10</t>
        </is>
      </c>
      <c r="B621" s="3" t="inlineStr">
        <is>
          <t>POL</t>
        </is>
      </c>
      <c r="C621" s="3" t="inlineStr">
        <is>
          <t>policy.tests.test_portal_actions</t>
        </is>
      </c>
      <c r="D621" s="3" t="inlineStr">
        <is>
          <t>TestReviewsAndScans</t>
        </is>
      </c>
      <c r="E621" s="3" t="inlineStr">
        <is>
          <t>test_a_review_is_not_opened_while_drafting</t>
        </is>
      </c>
      <c r="F621" s="3" t="inlineStr">
        <is>
          <t>whole class</t>
        </is>
      </c>
      <c r="G621" s="2" t="n">
        <v>7</v>
      </c>
      <c r="H621" s="2" t="n">
        <v>7</v>
      </c>
      <c r="I621" s="3" t="inlineStr">
        <is>
          <t>consilium/policy/tests/test_portal_actions.py</t>
        </is>
      </c>
    </row>
    <row r="622" ht="17" customHeight="1">
      <c r="A622" s="2" t="inlineStr">
        <is>
          <t>P-10</t>
        </is>
      </c>
      <c r="B622" s="3" t="inlineStr">
        <is>
          <t>POL</t>
        </is>
      </c>
      <c r="C622" s="3" t="inlineStr">
        <is>
          <t>policy.tests.test_portal_actions</t>
        </is>
      </c>
      <c r="D622" s="3" t="inlineStr">
        <is>
          <t>TestReviewsAndScans</t>
        </is>
      </c>
      <c r="E622" s="3" t="inlineStr">
        <is>
          <t>test_a_review_concludes_with_notes</t>
        </is>
      </c>
      <c r="F622" s="3" t="inlineStr">
        <is>
          <t>whole class</t>
        </is>
      </c>
      <c r="G622" s="2" t="n">
        <v>7</v>
      </c>
      <c r="H622" s="2" t="n">
        <v>7</v>
      </c>
      <c r="I622" s="3" t="inlineStr">
        <is>
          <t>consilium/policy/tests/test_portal_actions.py</t>
        </is>
      </c>
    </row>
    <row r="623" ht="17" customHeight="1">
      <c r="A623" s="2" t="inlineStr">
        <is>
          <t>P-10</t>
        </is>
      </c>
      <c r="B623" s="3" t="inlineStr">
        <is>
          <t>POL</t>
        </is>
      </c>
      <c r="C623" s="3" t="inlineStr">
        <is>
          <t>policy.tests.test_portal_actions</t>
        </is>
      </c>
      <c r="D623" s="3" t="inlineStr">
        <is>
          <t>TestReviewsAndScans</t>
        </is>
      </c>
      <c r="E623" s="3" t="inlineStr">
        <is>
          <t>test_a_reviewer_cannot_open_a_review</t>
        </is>
      </c>
      <c r="F623" s="3" t="inlineStr">
        <is>
          <t>whole class</t>
        </is>
      </c>
      <c r="G623" s="2" t="n">
        <v>7</v>
      </c>
      <c r="H623" s="2" t="n">
        <v>7</v>
      </c>
      <c r="I623" s="3" t="inlineStr">
        <is>
          <t>consilium/policy/tests/test_portal_actions.py</t>
        </is>
      </c>
    </row>
    <row r="624" ht="17" customHeight="1">
      <c r="A624" s="2" t="inlineStr">
        <is>
          <t>P-10</t>
        </is>
      </c>
      <c r="B624" s="3" t="inlineStr">
        <is>
          <t>POL</t>
        </is>
      </c>
      <c r="C624" s="3" t="inlineStr">
        <is>
          <t>policy.tests.test_portal_actions</t>
        </is>
      </c>
      <c r="D624" s="3" t="inlineStr">
        <is>
          <t>TestReviewsAndScans</t>
        </is>
      </c>
      <c r="E624" s="3" t="inlineStr">
        <is>
          <t>test_a_scan_that_triggers_review_opens_the_cycle</t>
        </is>
      </c>
      <c r="F624" s="3" t="inlineStr">
        <is>
          <t>whole class</t>
        </is>
      </c>
      <c r="G624" s="2" t="n">
        <v>7</v>
      </c>
      <c r="H624" s="2" t="n">
        <v>7</v>
      </c>
      <c r="I624" s="3" t="inlineStr">
        <is>
          <t>consilium/policy/tests/test_portal_actions.py</t>
        </is>
      </c>
    </row>
    <row r="625" ht="17" customHeight="1">
      <c r="A625" s="2" t="inlineStr">
        <is>
          <t>P-10</t>
        </is>
      </c>
      <c r="B625" s="3" t="inlineStr">
        <is>
          <t>POL</t>
        </is>
      </c>
      <c r="C625" s="3" t="inlineStr">
        <is>
          <t>policy.tests.test_portal_actions</t>
        </is>
      </c>
      <c r="D625" s="3" t="inlineStr">
        <is>
          <t>TestReviewsAndScans</t>
        </is>
      </c>
      <c r="E625" s="3" t="inlineStr">
        <is>
          <t>test_a_scan_names_its_sources</t>
        </is>
      </c>
      <c r="F625" s="3" t="inlineStr">
        <is>
          <t>whole class</t>
        </is>
      </c>
      <c r="G625" s="2" t="n">
        <v>7</v>
      </c>
      <c r="H625" s="2" t="n">
        <v>7</v>
      </c>
      <c r="I625" s="3" t="inlineStr">
        <is>
          <t>consilium/policy/tests/test_portal_actions.py</t>
        </is>
      </c>
    </row>
    <row r="626" ht="17" customHeight="1">
      <c r="A626" s="2" t="inlineStr">
        <is>
          <t>P-10</t>
        </is>
      </c>
      <c r="B626" s="3" t="inlineStr">
        <is>
          <t>POL</t>
        </is>
      </c>
      <c r="C626" s="3" t="inlineStr">
        <is>
          <t>policy.tests.test_portal_actions</t>
        </is>
      </c>
      <c r="D626" s="3" t="inlineStr">
        <is>
          <t>TestReviewsAndScans</t>
        </is>
      </c>
      <c r="E626" s="3" t="inlineStr">
        <is>
          <t>test_a_reviewer_cannot_record_a_scan</t>
        </is>
      </c>
      <c r="F626" s="3" t="inlineStr">
        <is>
          <t>whole class</t>
        </is>
      </c>
      <c r="G626" s="2" t="n">
        <v>7</v>
      </c>
      <c r="H626" s="2" t="n">
        <v>7</v>
      </c>
      <c r="I626" s="3" t="inlineStr">
        <is>
          <t>consilium/policy/tests/test_portal_actions.py</t>
        </is>
      </c>
    </row>
    <row r="627" ht="17" customHeight="1">
      <c r="A627" s="2" t="inlineStr">
        <is>
          <t>P-10</t>
        </is>
      </c>
      <c r="B627" s="3" t="inlineStr">
        <is>
          <t>POL</t>
        </is>
      </c>
      <c r="C627" s="3" t="inlineStr">
        <is>
          <t>policy.tests.test_entities</t>
        </is>
      </c>
      <c r="D627" s="3" t="inlineStr">
        <is>
          <t>TestReviewCycle</t>
        </is>
      </c>
      <c r="E627" s="3" t="inlineStr">
        <is>
          <t>test_a_cycle_is_open_until_it_concludes</t>
        </is>
      </c>
      <c r="F627" s="3" t="inlineStr">
        <is>
          <t>whole class</t>
        </is>
      </c>
      <c r="G627" s="2" t="n">
        <v>4</v>
      </c>
      <c r="H627" s="2" t="n">
        <v>4</v>
      </c>
      <c r="I627" s="3" t="inlineStr">
        <is>
          <t>consilium/policy/tests/test_entities.py</t>
        </is>
      </c>
    </row>
    <row r="628" ht="17" customHeight="1">
      <c r="A628" s="2" t="inlineStr">
        <is>
          <t>P-10</t>
        </is>
      </c>
      <c r="B628" s="3" t="inlineStr">
        <is>
          <t>POL</t>
        </is>
      </c>
      <c r="C628" s="3" t="inlineStr">
        <is>
          <t>policy.tests.test_entities</t>
        </is>
      </c>
      <c r="D628" s="3" t="inlineStr">
        <is>
          <t>TestReviewCycle</t>
        </is>
      </c>
      <c r="E628" s="3" t="inlineStr">
        <is>
          <t>test_a_cycle_can_name_the_intake_request_it_produced</t>
        </is>
      </c>
      <c r="F628" s="3" t="inlineStr">
        <is>
          <t>whole class</t>
        </is>
      </c>
      <c r="G628" s="2" t="n">
        <v>4</v>
      </c>
      <c r="H628" s="2" t="n">
        <v>4</v>
      </c>
      <c r="I628" s="3" t="inlineStr">
        <is>
          <t>consilium/policy/tests/test_entities.py</t>
        </is>
      </c>
    </row>
    <row r="629" ht="17" customHeight="1">
      <c r="A629" s="2" t="inlineStr">
        <is>
          <t>P-10</t>
        </is>
      </c>
      <c r="B629" s="3" t="inlineStr">
        <is>
          <t>POL</t>
        </is>
      </c>
      <c r="C629" s="3" t="inlineStr">
        <is>
          <t>policy.tests.test_entities</t>
        </is>
      </c>
      <c r="D629" s="3" t="inlineStr">
        <is>
          <t>TestReviewCycle</t>
        </is>
      </c>
      <c r="E629" s="3" t="inlineStr">
        <is>
          <t>test_a_cycle_needs_a_document</t>
        </is>
      </c>
      <c r="F629" s="3" t="inlineStr">
        <is>
          <t>whole class</t>
        </is>
      </c>
      <c r="G629" s="2" t="n">
        <v>4</v>
      </c>
      <c r="H629" s="2" t="n">
        <v>4</v>
      </c>
      <c r="I629" s="3" t="inlineStr">
        <is>
          <t>consilium/policy/tests/test_entities.py</t>
        </is>
      </c>
    </row>
    <row r="630" ht="17" customHeight="1">
      <c r="A630" s="2" t="inlineStr">
        <is>
          <t>P-10</t>
        </is>
      </c>
      <c r="B630" s="3" t="inlineStr">
        <is>
          <t>POL</t>
        </is>
      </c>
      <c r="C630" s="3" t="inlineStr">
        <is>
          <t>policy.tests.test_entities</t>
        </is>
      </c>
      <c r="D630" s="3" t="inlineStr">
        <is>
          <t>TestReviewCycle</t>
        </is>
      </c>
      <c r="E630" s="3" t="inlineStr">
        <is>
          <t>test_an_auditor_cannot_change_a_cycle</t>
        </is>
      </c>
      <c r="F630" s="3" t="inlineStr">
        <is>
          <t>whole class</t>
        </is>
      </c>
      <c r="G630" s="2" t="n">
        <v>4</v>
      </c>
      <c r="H630" s="2" t="n">
        <v>4</v>
      </c>
      <c r="I630" s="3" t="inlineStr">
        <is>
          <t>consilium/policy/tests/test_entities.py</t>
        </is>
      </c>
    </row>
    <row r="631" ht="17" customHeight="1">
      <c r="A631" s="2" t="inlineStr">
        <is>
          <t>P-10</t>
        </is>
      </c>
      <c r="B631" s="3" t="inlineStr">
        <is>
          <t>POL</t>
        </is>
      </c>
      <c r="C631" s="3" t="inlineStr">
        <is>
          <t>policy.tests.test_repository</t>
        </is>
      </c>
      <c r="D631" s="3" t="inlineStr">
        <is>
          <t>TestGoverningDocument</t>
        </is>
      </c>
      <c r="E631" s="3" t="inlineStr">
        <is>
          <t>test_review_date_derives_from_cadence</t>
        </is>
      </c>
      <c r="F631" s="3" t="inlineStr">
        <is>
          <t>named method</t>
        </is>
      </c>
      <c r="G631" s="2" t="n"/>
      <c r="H631" s="2" t="n">
        <v>1</v>
      </c>
      <c r="I631" s="3" t="inlineStr">
        <is>
          <t>consilium/policy/tests/test_repository.py</t>
        </is>
      </c>
    </row>
    <row r="632" ht="30" customHeight="1">
      <c r="A632" s="2" t="inlineStr">
        <is>
          <t>P-11</t>
        </is>
      </c>
      <c r="B632" s="3" t="inlineStr">
        <is>
          <t>POL</t>
        </is>
      </c>
      <c r="C632" s="3" t="inlineStr">
        <is>
          <t>policy.tests.test_monitoring</t>
        </is>
      </c>
      <c r="D632" s="3" t="inlineStr">
        <is>
          <t>TestMonitoring</t>
        </is>
      </c>
      <c r="E632" s="3" t="inlineStr">
        <is>
          <t>test_an_activity_and_its_result_record_outcome_and_evidence</t>
        </is>
      </c>
      <c r="F632" s="3" t="inlineStr">
        <is>
          <t>whole class</t>
        </is>
      </c>
      <c r="G632" s="2" t="n">
        <v>4</v>
      </c>
      <c r="H632" s="2" t="n">
        <v>4</v>
      </c>
      <c r="I632" s="3" t="inlineStr">
        <is>
          <t>consilium/policy/tests/test_monitoring.py</t>
        </is>
      </c>
    </row>
    <row r="633" ht="30" customHeight="1">
      <c r="A633" s="2" t="inlineStr">
        <is>
          <t>P-11</t>
        </is>
      </c>
      <c r="B633" s="3" t="inlineStr">
        <is>
          <t>POL</t>
        </is>
      </c>
      <c r="C633" s="3" t="inlineStr">
        <is>
          <t>policy.tests.test_monitoring</t>
        </is>
      </c>
      <c r="D633" s="3" t="inlineStr">
        <is>
          <t>TestMonitoring</t>
        </is>
      </c>
      <c r="E633" s="3" t="inlineStr">
        <is>
          <t>test_a_performed_activity_without_findings_or_evidence_is_refused</t>
        </is>
      </c>
      <c r="F633" s="3" t="inlineStr">
        <is>
          <t>whole class</t>
        </is>
      </c>
      <c r="G633" s="2" t="n">
        <v>4</v>
      </c>
      <c r="H633" s="2" t="n">
        <v>4</v>
      </c>
      <c r="I633" s="3" t="inlineStr">
        <is>
          <t>consilium/policy/tests/test_monitoring.py</t>
        </is>
      </c>
    </row>
    <row r="634" ht="17" customHeight="1">
      <c r="A634" s="2" t="inlineStr">
        <is>
          <t>P-11</t>
        </is>
      </c>
      <c r="B634" s="3" t="inlineStr">
        <is>
          <t>POL</t>
        </is>
      </c>
      <c r="C634" s="3" t="inlineStr">
        <is>
          <t>policy.tests.test_monitoring</t>
        </is>
      </c>
      <c r="D634" s="3" t="inlineStr">
        <is>
          <t>TestMonitoring</t>
        </is>
      </c>
      <c r="E634" s="3" t="inlineStr">
        <is>
          <t>test_recording_a_result_advances_the_activity</t>
        </is>
      </c>
      <c r="F634" s="3" t="inlineStr">
        <is>
          <t>whole class</t>
        </is>
      </c>
      <c r="G634" s="2" t="n">
        <v>4</v>
      </c>
      <c r="H634" s="2" t="n">
        <v>4</v>
      </c>
      <c r="I634" s="3" t="inlineStr">
        <is>
          <t>consilium/policy/tests/test_monitoring.py</t>
        </is>
      </c>
    </row>
    <row r="635" ht="17" customHeight="1">
      <c r="A635" s="2" t="inlineStr">
        <is>
          <t>P-11</t>
        </is>
      </c>
      <c r="B635" s="3" t="inlineStr">
        <is>
          <t>POL</t>
        </is>
      </c>
      <c r="C635" s="3" t="inlineStr">
        <is>
          <t>policy.tests.test_monitoring</t>
        </is>
      </c>
      <c r="D635" s="3" t="inlineStr">
        <is>
          <t>TestMonitoring</t>
        </is>
      </c>
      <c r="E635" s="3" t="inlineStr">
        <is>
          <t>test_a_reviewer_cannot_create_a_monitoring_activity</t>
        </is>
      </c>
      <c r="F635" s="3" t="inlineStr">
        <is>
          <t>whole class</t>
        </is>
      </c>
      <c r="G635" s="2" t="n">
        <v>4</v>
      </c>
      <c r="H635" s="2" t="n">
        <v>4</v>
      </c>
      <c r="I635" s="3" t="inlineStr">
        <is>
          <t>consilium/policy/tests/test_monitoring.py</t>
        </is>
      </c>
    </row>
    <row r="636" ht="17" customHeight="1">
      <c r="A636" s="2" t="inlineStr">
        <is>
          <t>P-11</t>
        </is>
      </c>
      <c r="B636" s="3" t="inlineStr">
        <is>
          <t>POL</t>
        </is>
      </c>
      <c r="C636" s="3" t="inlineStr">
        <is>
          <t>policy.tests.test_portal_actions</t>
        </is>
      </c>
      <c r="D636" s="3" t="inlineStr">
        <is>
          <t>TestMonitoring</t>
        </is>
      </c>
      <c r="E636" s="3" t="inlineStr">
        <is>
          <t>test_the_owner_records_a_result_and_the_due_date_moves</t>
        </is>
      </c>
      <c r="F636" s="3" t="inlineStr">
        <is>
          <t>whole class</t>
        </is>
      </c>
      <c r="G636" s="2" t="n">
        <v>8</v>
      </c>
      <c r="H636" s="2" t="n">
        <v>8</v>
      </c>
      <c r="I636" s="3" t="inlineStr">
        <is>
          <t>consilium/policy/tests/test_portal_actions.py</t>
        </is>
      </c>
    </row>
    <row r="637" ht="17" customHeight="1">
      <c r="A637" s="2" t="inlineStr">
        <is>
          <t>P-11</t>
        </is>
      </c>
      <c r="B637" s="3" t="inlineStr">
        <is>
          <t>POL</t>
        </is>
      </c>
      <c r="C637" s="3" t="inlineStr">
        <is>
          <t>policy.tests.test_portal_actions</t>
        </is>
      </c>
      <c r="D637" s="3" t="inlineStr">
        <is>
          <t>TestMonitoring</t>
        </is>
      </c>
      <c r="E637" s="3" t="inlineStr">
        <is>
          <t>test_the_responsible_person_records_whatever_their_role</t>
        </is>
      </c>
      <c r="F637" s="3" t="inlineStr">
        <is>
          <t>whole class</t>
        </is>
      </c>
      <c r="G637" s="2" t="n">
        <v>8</v>
      </c>
      <c r="H637" s="2" t="n">
        <v>8</v>
      </c>
      <c r="I637" s="3" t="inlineStr">
        <is>
          <t>consilium/policy/tests/test_portal_actions.py</t>
        </is>
      </c>
    </row>
    <row r="638" ht="17" customHeight="1">
      <c r="A638" s="2" t="inlineStr">
        <is>
          <t>P-11</t>
        </is>
      </c>
      <c r="B638" s="3" t="inlineStr">
        <is>
          <t>POL</t>
        </is>
      </c>
      <c r="C638" s="3" t="inlineStr">
        <is>
          <t>policy.tests.test_portal_actions</t>
        </is>
      </c>
      <c r="D638" s="3" t="inlineStr">
        <is>
          <t>TestMonitoring</t>
        </is>
      </c>
      <c r="E638" s="3" t="inlineStr">
        <is>
          <t>test_a_reader_not_responsible_cannot_record</t>
        </is>
      </c>
      <c r="F638" s="3" t="inlineStr">
        <is>
          <t>whole class</t>
        </is>
      </c>
      <c r="G638" s="2" t="n">
        <v>8</v>
      </c>
      <c r="H638" s="2" t="n">
        <v>8</v>
      </c>
      <c r="I638" s="3" t="inlineStr">
        <is>
          <t>consilium/policy/tests/test_portal_actions.py</t>
        </is>
      </c>
    </row>
    <row r="639" ht="17" customHeight="1">
      <c r="A639" s="2" t="inlineStr">
        <is>
          <t>P-11</t>
        </is>
      </c>
      <c r="B639" s="3" t="inlineStr">
        <is>
          <t>POL</t>
        </is>
      </c>
      <c r="C639" s="3" t="inlineStr">
        <is>
          <t>policy.tests.test_portal_actions</t>
        </is>
      </c>
      <c r="D639" s="3" t="inlineStr">
        <is>
          <t>TestMonitoring</t>
        </is>
      </c>
      <c r="E639" s="3" t="inlineStr">
        <is>
          <t>test_an_inactive_activity_takes_no_result</t>
        </is>
      </c>
      <c r="F639" s="3" t="inlineStr">
        <is>
          <t>whole class</t>
        </is>
      </c>
      <c r="G639" s="2" t="n">
        <v>8</v>
      </c>
      <c r="H639" s="2" t="n">
        <v>8</v>
      </c>
      <c r="I639" s="3" t="inlineStr">
        <is>
          <t>consilium/policy/tests/test_portal_actions.py</t>
        </is>
      </c>
    </row>
    <row r="640" ht="17" customHeight="1">
      <c r="A640" s="2" t="inlineStr">
        <is>
          <t>P-11</t>
        </is>
      </c>
      <c r="B640" s="3" t="inlineStr">
        <is>
          <t>POL</t>
        </is>
      </c>
      <c r="C640" s="3" t="inlineStr">
        <is>
          <t>policy.tests.test_portal_actions</t>
        </is>
      </c>
      <c r="D640" s="3" t="inlineStr">
        <is>
          <t>TestMonitoring</t>
        </is>
      </c>
      <c r="E640" s="3" t="inlineStr">
        <is>
          <t>test_a_performed_check_records_its_findings</t>
        </is>
      </c>
      <c r="F640" s="3" t="inlineStr">
        <is>
          <t>whole class</t>
        </is>
      </c>
      <c r="G640" s="2" t="n">
        <v>8</v>
      </c>
      <c r="H640" s="2" t="n">
        <v>8</v>
      </c>
      <c r="I640" s="3" t="inlineStr">
        <is>
          <t>consilium/policy/tests/test_portal_actions.py</t>
        </is>
      </c>
    </row>
    <row r="641" ht="17" customHeight="1">
      <c r="A641" s="2" t="inlineStr">
        <is>
          <t>P-11</t>
        </is>
      </c>
      <c r="B641" s="3" t="inlineStr">
        <is>
          <t>POL</t>
        </is>
      </c>
      <c r="C641" s="3" t="inlineStr">
        <is>
          <t>policy.tests.test_portal_actions</t>
        </is>
      </c>
      <c r="D641" s="3" t="inlineStr">
        <is>
          <t>TestMonitoring</t>
        </is>
      </c>
      <c r="E641" s="3" t="inlineStr">
        <is>
          <t>test_a_reviewer_logs_a_violation</t>
        </is>
      </c>
      <c r="F641" s="3" t="inlineStr">
        <is>
          <t>whole class</t>
        </is>
      </c>
      <c r="G641" s="2" t="n">
        <v>8</v>
      </c>
      <c r="H641" s="2" t="n">
        <v>8</v>
      </c>
      <c r="I641" s="3" t="inlineStr">
        <is>
          <t>consilium/policy/tests/test_portal_actions.py</t>
        </is>
      </c>
    </row>
    <row r="642" ht="17" customHeight="1">
      <c r="A642" s="2" t="inlineStr">
        <is>
          <t>P-11</t>
        </is>
      </c>
      <c r="B642" s="3" t="inlineStr">
        <is>
          <t>POL</t>
        </is>
      </c>
      <c r="C642" s="3" t="inlineStr">
        <is>
          <t>policy.tests.test_portal_actions</t>
        </is>
      </c>
      <c r="D642" s="3" t="inlineStr">
        <is>
          <t>TestMonitoring</t>
        </is>
      </c>
      <c r="E642" s="3" t="inlineStr">
        <is>
          <t>test_an_auditor_cannot_log_a_violation</t>
        </is>
      </c>
      <c r="F642" s="3" t="inlineStr">
        <is>
          <t>whole class</t>
        </is>
      </c>
      <c r="G642" s="2" t="n">
        <v>8</v>
      </c>
      <c r="H642" s="2" t="n">
        <v>8</v>
      </c>
      <c r="I642" s="3" t="inlineStr">
        <is>
          <t>consilium/policy/tests/test_portal_actions.py</t>
        </is>
      </c>
    </row>
    <row r="643" ht="17" customHeight="1">
      <c r="A643" s="2" t="inlineStr">
        <is>
          <t>P-11</t>
        </is>
      </c>
      <c r="B643" s="3" t="inlineStr">
        <is>
          <t>POL</t>
        </is>
      </c>
      <c r="C643" s="3" t="inlineStr">
        <is>
          <t>policy.tests.test_portal_actions</t>
        </is>
      </c>
      <c r="D643" s="3" t="inlineStr">
        <is>
          <t>TestMonitoring</t>
        </is>
      </c>
      <c r="E643" s="3" t="inlineStr">
        <is>
          <t>test_a_violation_is_not_identified_before_it_occurred</t>
        </is>
      </c>
      <c r="F643" s="3" t="inlineStr">
        <is>
          <t>whole class</t>
        </is>
      </c>
      <c r="G643" s="2" t="n">
        <v>8</v>
      </c>
      <c r="H643" s="2" t="n">
        <v>8</v>
      </c>
      <c r="I643" s="3" t="inlineStr">
        <is>
          <t>consilium/policy/tests/test_portal_actions.py</t>
        </is>
      </c>
    </row>
    <row r="644" ht="17" customHeight="1">
      <c r="A644" s="2" t="inlineStr">
        <is>
          <t>P-11</t>
        </is>
      </c>
      <c r="B644" s="3" t="inlineStr">
        <is>
          <t>POL</t>
        </is>
      </c>
      <c r="C644" s="3" t="inlineStr">
        <is>
          <t>consilium_core.tests.test_reminders</t>
        </is>
      </c>
      <c r="D644" s="3" t="inlineStr">
        <is>
          <t>TestMonitoringReminders</t>
        </is>
      </c>
      <c r="E644" s="3" t="inlineStr">
        <is>
          <t>test_due_soon_then_overdue_then_escalated</t>
        </is>
      </c>
      <c r="F644" s="3" t="inlineStr">
        <is>
          <t>whole class</t>
        </is>
      </c>
      <c r="G644" s="2" t="n">
        <v>2</v>
      </c>
      <c r="H644" s="2" t="n">
        <v>2</v>
      </c>
      <c r="I644" s="3" t="inlineStr">
        <is>
          <t>consilium/consilium_core/tests/test_reminders.py</t>
        </is>
      </c>
    </row>
    <row r="645" ht="17" customHeight="1">
      <c r="A645" s="2" t="inlineStr">
        <is>
          <t>P-11</t>
        </is>
      </c>
      <c r="B645" s="3" t="inlineStr">
        <is>
          <t>POL</t>
        </is>
      </c>
      <c r="C645" s="3" t="inlineStr">
        <is>
          <t>consilium_core.tests.test_reminders</t>
        </is>
      </c>
      <c r="D645" s="3" t="inlineStr">
        <is>
          <t>TestMonitoringReminders</t>
        </is>
      </c>
      <c r="E645" s="3" t="inlineStr">
        <is>
          <t>test_an_inactive_activity_is_not_chased</t>
        </is>
      </c>
      <c r="F645" s="3" t="inlineStr">
        <is>
          <t>whole class</t>
        </is>
      </c>
      <c r="G645" s="2" t="n">
        <v>2</v>
      </c>
      <c r="H645" s="2" t="n">
        <v>2</v>
      </c>
      <c r="I645" s="3" t="inlineStr">
        <is>
          <t>consilium/consilium_core/tests/test_reminders.py</t>
        </is>
      </c>
    </row>
    <row r="646" ht="17" customHeight="1">
      <c r="A646" s="2" t="inlineStr">
        <is>
          <t>P-11</t>
        </is>
      </c>
      <c r="B646" s="3" t="inlineStr">
        <is>
          <t>POL</t>
        </is>
      </c>
      <c r="C646" s="3" t="inlineStr">
        <is>
          <t>policy.tests.test_wave3</t>
        </is>
      </c>
      <c r="D646" s="3" t="inlineStr">
        <is>
          <t>TestReporting</t>
        </is>
      </c>
      <c r="E646" s="3" t="inlineStr">
        <is>
          <t>test_sections_count_only_what_the_viewer_may_read</t>
        </is>
      </c>
      <c r="F646" s="3" t="inlineStr">
        <is>
          <t>whole class</t>
        </is>
      </c>
      <c r="G646" s="2" t="n">
        <v>3</v>
      </c>
      <c r="H646" s="2" t="n">
        <v>3</v>
      </c>
      <c r="I646" s="3" t="inlineStr">
        <is>
          <t>consilium/policy/tests/test_wave3.py</t>
        </is>
      </c>
    </row>
    <row r="647" ht="17" customHeight="1">
      <c r="A647" s="2" t="inlineStr">
        <is>
          <t>P-11</t>
        </is>
      </c>
      <c r="B647" s="3" t="inlineStr">
        <is>
          <t>POL</t>
        </is>
      </c>
      <c r="C647" s="3" t="inlineStr">
        <is>
          <t>policy.tests.test_wave3</t>
        </is>
      </c>
      <c r="D647" s="3" t="inlineStr">
        <is>
          <t>TestReporting</t>
        </is>
      </c>
      <c r="E647" s="3" t="inlineStr">
        <is>
          <t>test_export_is_the_same_rows_as_a_file</t>
        </is>
      </c>
      <c r="F647" s="3" t="inlineStr">
        <is>
          <t>whole class</t>
        </is>
      </c>
      <c r="G647" s="2" t="n">
        <v>3</v>
      </c>
      <c r="H647" s="2" t="n">
        <v>3</v>
      </c>
      <c r="I647" s="3" t="inlineStr">
        <is>
          <t>consilium/policy/tests/test_wave3.py</t>
        </is>
      </c>
    </row>
    <row r="648" ht="17" customHeight="1">
      <c r="A648" s="2" t="inlineStr">
        <is>
          <t>P-11</t>
        </is>
      </c>
      <c r="B648" s="3" t="inlineStr">
        <is>
          <t>POL</t>
        </is>
      </c>
      <c r="C648" s="3" t="inlineStr">
        <is>
          <t>policy.tests.test_wave3</t>
        </is>
      </c>
      <c r="D648" s="3" t="inlineStr">
        <is>
          <t>TestReporting</t>
        </is>
      </c>
      <c r="E648" s="3" t="inlineStr">
        <is>
          <t>test_a_spreadsheet_formula_is_exported_as_text</t>
        </is>
      </c>
      <c r="F648" s="3" t="inlineStr">
        <is>
          <t>whole class</t>
        </is>
      </c>
      <c r="G648" s="2" t="n">
        <v>3</v>
      </c>
      <c r="H648" s="2" t="n">
        <v>3</v>
      </c>
      <c r="I648" s="3" t="inlineStr">
        <is>
          <t>consilium/policy/tests/test_wave3.py</t>
        </is>
      </c>
    </row>
    <row r="649" ht="17" customHeight="1">
      <c r="A649" s="2" t="inlineStr">
        <is>
          <t>P-12</t>
        </is>
      </c>
      <c r="B649" s="3" t="inlineStr">
        <is>
          <t>POL</t>
        </is>
      </c>
      <c r="C649" s="3" t="inlineStr">
        <is>
          <t>policy.tests.test_wave3</t>
        </is>
      </c>
      <c r="D649" s="3" t="inlineStr">
        <is>
          <t>TestReporting</t>
        </is>
      </c>
      <c r="E649" s="3" t="inlineStr">
        <is>
          <t>test_sections_count_only_what_the_viewer_may_read</t>
        </is>
      </c>
      <c r="F649" s="3" t="inlineStr">
        <is>
          <t>whole class</t>
        </is>
      </c>
      <c r="G649" s="2" t="n">
        <v>3</v>
      </c>
      <c r="H649" s="2" t="n">
        <v>3</v>
      </c>
      <c r="I649" s="3" t="inlineStr">
        <is>
          <t>consilium/policy/tests/test_wave3.py</t>
        </is>
      </c>
    </row>
    <row r="650" ht="17" customHeight="1">
      <c r="A650" s="2" t="inlineStr">
        <is>
          <t>P-12</t>
        </is>
      </c>
      <c r="B650" s="3" t="inlineStr">
        <is>
          <t>POL</t>
        </is>
      </c>
      <c r="C650" s="3" t="inlineStr">
        <is>
          <t>policy.tests.test_wave3</t>
        </is>
      </c>
      <c r="D650" s="3" t="inlineStr">
        <is>
          <t>TestReporting</t>
        </is>
      </c>
      <c r="E650" s="3" t="inlineStr">
        <is>
          <t>test_export_is_the_same_rows_as_a_file</t>
        </is>
      </c>
      <c r="F650" s="3" t="inlineStr">
        <is>
          <t>whole class</t>
        </is>
      </c>
      <c r="G650" s="2" t="n">
        <v>3</v>
      </c>
      <c r="H650" s="2" t="n">
        <v>3</v>
      </c>
      <c r="I650" s="3" t="inlineStr">
        <is>
          <t>consilium/policy/tests/test_wave3.py</t>
        </is>
      </c>
    </row>
    <row r="651" ht="17" customHeight="1">
      <c r="A651" s="2" t="inlineStr">
        <is>
          <t>P-12</t>
        </is>
      </c>
      <c r="B651" s="3" t="inlineStr">
        <is>
          <t>POL</t>
        </is>
      </c>
      <c r="C651" s="3" t="inlineStr">
        <is>
          <t>policy.tests.test_wave3</t>
        </is>
      </c>
      <c r="D651" s="3" t="inlineStr">
        <is>
          <t>TestReporting</t>
        </is>
      </c>
      <c r="E651" s="3" t="inlineStr">
        <is>
          <t>test_a_spreadsheet_formula_is_exported_as_text</t>
        </is>
      </c>
      <c r="F651" s="3" t="inlineStr">
        <is>
          <t>whole class</t>
        </is>
      </c>
      <c r="G651" s="2" t="n">
        <v>3</v>
      </c>
      <c r="H651" s="2" t="n">
        <v>3</v>
      </c>
      <c r="I651" s="3" t="inlineStr">
        <is>
          <t>consilium/policy/tests/test_wave3.py</t>
        </is>
      </c>
    </row>
    <row r="652" ht="17" customHeight="1">
      <c r="A652" s="2" t="inlineStr">
        <is>
          <t>P-12</t>
        </is>
      </c>
      <c r="B652" s="3" t="inlineStr">
        <is>
          <t>POL</t>
        </is>
      </c>
      <c r="C652" s="3" t="inlineStr">
        <is>
          <t>consilium_core.tests.test_portal_pages</t>
        </is>
      </c>
      <c r="D652" s="3" t="inlineStr">
        <is>
          <t>TestEveryPageIsCovered</t>
        </is>
      </c>
      <c r="E652" s="3" t="inlineStr">
        <is>
          <t>test_every_www_page_has_its_key_sections_listed</t>
        </is>
      </c>
      <c r="F652" s="3" t="inlineStr">
        <is>
          <t>whole class</t>
        </is>
      </c>
      <c r="G652" s="2" t="n">
        <v>1</v>
      </c>
      <c r="H652" s="2" t="n">
        <v>1</v>
      </c>
      <c r="I652" s="3" t="inlineStr">
        <is>
          <t>consilium/consilium_core/tests/test_portal_pages.py</t>
        </is>
      </c>
    </row>
    <row r="653" ht="17" customHeight="1">
      <c r="A653" s="2" t="inlineStr">
        <is>
          <t>P-13</t>
        </is>
      </c>
      <c r="B653" s="3" t="inlineStr">
        <is>
          <t>POL</t>
        </is>
      </c>
      <c r="C653" s="3" t="inlineStr">
        <is>
          <t>policy.tests.test_repository</t>
        </is>
      </c>
      <c r="D653" s="3" t="inlineStr">
        <is>
          <t>TestGoverningDocument</t>
        </is>
      </c>
      <c r="E653" s="3" t="inlineStr">
        <is>
          <t>test_a_reviewer_cannot_create_a_document</t>
        </is>
      </c>
      <c r="F653" s="3" t="inlineStr">
        <is>
          <t>named method</t>
        </is>
      </c>
      <c r="G653" s="2" t="n"/>
      <c r="H653" s="2" t="n">
        <v>1</v>
      </c>
      <c r="I653" s="3" t="inlineStr">
        <is>
          <t>consilium/policy/tests/test_repository.py</t>
        </is>
      </c>
    </row>
    <row r="654" ht="17" customHeight="1">
      <c r="A654" s="2" t="inlineStr">
        <is>
          <t>P-13</t>
        </is>
      </c>
      <c r="B654" s="3" t="inlineStr">
        <is>
          <t>POL</t>
        </is>
      </c>
      <c r="C654" s="3" t="inlineStr">
        <is>
          <t>policy.tests.test_repository</t>
        </is>
      </c>
      <c r="D654" s="3" t="inlineStr">
        <is>
          <t>TestGoverningDocument</t>
        </is>
      </c>
      <c r="E654" s="3" t="inlineStr">
        <is>
          <t>test_a_policy_owner_cannot_delete_a_document</t>
        </is>
      </c>
      <c r="F654" s="3" t="inlineStr">
        <is>
          <t>named method</t>
        </is>
      </c>
      <c r="G654" s="2" t="n"/>
      <c r="H654" s="2" t="n">
        <v>1</v>
      </c>
      <c r="I654" s="3" t="inlineStr">
        <is>
          <t>consilium/policy/tests/test_repository.py</t>
        </is>
      </c>
    </row>
    <row r="655" ht="17" customHeight="1">
      <c r="A655" s="2" t="inlineStr">
        <is>
          <t>P-13</t>
        </is>
      </c>
      <c r="B655" s="3" t="inlineStr">
        <is>
          <t>POL</t>
        </is>
      </c>
      <c r="C655" s="3" t="inlineStr">
        <is>
          <t>policy.tests.test_repository</t>
        </is>
      </c>
      <c r="D655" s="3" t="inlineStr">
        <is>
          <t>TestGoverningDocument</t>
        </is>
      </c>
      <c r="E655" s="3" t="inlineStr">
        <is>
          <t>test_the_policy_office_may_delete_a_document</t>
        </is>
      </c>
      <c r="F655" s="3" t="inlineStr">
        <is>
          <t>named method</t>
        </is>
      </c>
      <c r="G655" s="2" t="n"/>
      <c r="H655" s="2" t="n">
        <v>1</v>
      </c>
      <c r="I655" s="3" t="inlineStr">
        <is>
          <t>consilium/policy/tests/test_repository.py</t>
        </is>
      </c>
    </row>
    <row r="656" ht="17" customHeight="1">
      <c r="A656" s="2" t="inlineStr">
        <is>
          <t>P-13</t>
        </is>
      </c>
      <c r="B656" s="3" t="inlineStr">
        <is>
          <t>POL</t>
        </is>
      </c>
      <c r="C656" s="3" t="inlineStr">
        <is>
          <t>policy.tests.test_repository</t>
        </is>
      </c>
      <c r="D656" s="3" t="inlineStr">
        <is>
          <t>TestGoverningDocument</t>
        </is>
      </c>
      <c r="E656" s="3" t="inlineStr">
        <is>
          <t>test_an_auditor_may_read_but_not_write</t>
        </is>
      </c>
      <c r="F656" s="3" t="inlineStr">
        <is>
          <t>named method</t>
        </is>
      </c>
      <c r="G656" s="2" t="n"/>
      <c r="H656" s="2" t="n">
        <v>1</v>
      </c>
      <c r="I656" s="3" t="inlineStr">
        <is>
          <t>consilium/policy/tests/test_repository.py</t>
        </is>
      </c>
    </row>
    <row r="657" ht="30" customHeight="1">
      <c r="A657" s="2" t="inlineStr">
        <is>
          <t>P-13</t>
        </is>
      </c>
      <c r="B657" s="3" t="inlineStr">
        <is>
          <t>POL</t>
        </is>
      </c>
      <c r="C657" s="3" t="inlineStr">
        <is>
          <t>policy.tests.test_handling</t>
        </is>
      </c>
      <c r="D657" s="3" t="inlineStr">
        <is>
          <t>TestVisibility</t>
        </is>
      </c>
      <c r="E657" s="3" t="inlineStr">
        <is>
          <t>test_a_restricted_document_is_invisible_to_an_unnamed_policy_owner</t>
        </is>
      </c>
      <c r="F657" s="3" t="inlineStr">
        <is>
          <t>whole class</t>
        </is>
      </c>
      <c r="G657" s="2" t="n">
        <v>8</v>
      </c>
      <c r="H657" s="2" t="n">
        <v>8</v>
      </c>
      <c r="I657" s="3" t="inlineStr">
        <is>
          <t>consilium/policy/tests/test_handling.py</t>
        </is>
      </c>
    </row>
    <row r="658" ht="17" customHeight="1">
      <c r="A658" s="2" t="inlineStr">
        <is>
          <t>P-13</t>
        </is>
      </c>
      <c r="B658" s="3" t="inlineStr">
        <is>
          <t>POL</t>
        </is>
      </c>
      <c r="C658" s="3" t="inlineStr">
        <is>
          <t>policy.tests.test_handling</t>
        </is>
      </c>
      <c r="D658" s="3" t="inlineStr">
        <is>
          <t>TestVisibility</t>
        </is>
      </c>
      <c r="E658" s="3" t="inlineStr">
        <is>
          <t>test_an_internal_document_is_not_narrowed</t>
        </is>
      </c>
      <c r="F658" s="3" t="inlineStr">
        <is>
          <t>whole class</t>
        </is>
      </c>
      <c r="G658" s="2" t="n">
        <v>8</v>
      </c>
      <c r="H658" s="2" t="n">
        <v>8</v>
      </c>
      <c r="I658" s="3" t="inlineStr">
        <is>
          <t>consilium/policy/tests/test_handling.py</t>
        </is>
      </c>
    </row>
    <row r="659" ht="17" customHeight="1">
      <c r="A659" s="2" t="inlineStr">
        <is>
          <t>P-13</t>
        </is>
      </c>
      <c r="B659" s="3" t="inlineStr">
        <is>
          <t>POL</t>
        </is>
      </c>
      <c r="C659" s="3" t="inlineStr">
        <is>
          <t>policy.tests.test_handling</t>
        </is>
      </c>
      <c r="D659" s="3" t="inlineStr">
        <is>
          <t>TestVisibility</t>
        </is>
      </c>
      <c r="E659" s="3" t="inlineStr">
        <is>
          <t>test_the_people_named_on_the_record_see_it</t>
        </is>
      </c>
      <c r="F659" s="3" t="inlineStr">
        <is>
          <t>whole class</t>
        </is>
      </c>
      <c r="G659" s="2" t="n">
        <v>8</v>
      </c>
      <c r="H659" s="2" t="n">
        <v>8</v>
      </c>
      <c r="I659" s="3" t="inlineStr">
        <is>
          <t>consilium/policy/tests/test_handling.py</t>
        </is>
      </c>
    </row>
    <row r="660" ht="30" customHeight="1">
      <c r="A660" s="2" t="inlineStr">
        <is>
          <t>P-13</t>
        </is>
      </c>
      <c r="B660" s="3" t="inlineStr">
        <is>
          <t>POL</t>
        </is>
      </c>
      <c r="C660" s="3" t="inlineStr">
        <is>
          <t>policy.tests.test_handling</t>
        </is>
      </c>
      <c r="D660" s="3" t="inlineStr">
        <is>
          <t>TestVisibility</t>
        </is>
      </c>
      <c r="E660" s="3" t="inlineStr">
        <is>
          <t>test_an_accountability_role_names_a_person_or_a_group_while_it_is_in_force</t>
        </is>
      </c>
      <c r="F660" s="3" t="inlineStr">
        <is>
          <t>whole class</t>
        </is>
      </c>
      <c r="G660" s="2" t="n">
        <v>8</v>
      </c>
      <c r="H660" s="2" t="n">
        <v>8</v>
      </c>
      <c r="I660" s="3" t="inlineStr">
        <is>
          <t>consilium/policy/tests/test_handling.py</t>
        </is>
      </c>
    </row>
    <row r="661" ht="30" customHeight="1">
      <c r="A661" s="2" t="inlineStr">
        <is>
          <t>P-13</t>
        </is>
      </c>
      <c r="B661" s="3" t="inlineStr">
        <is>
          <t>POL</t>
        </is>
      </c>
      <c r="C661" s="3" t="inlineStr">
        <is>
          <t>policy.tests.test_handling</t>
        </is>
      </c>
      <c r="D661" s="3" t="inlineStr">
        <is>
          <t>TestVisibility</t>
        </is>
      </c>
      <c r="E661" s="3" t="inlineStr">
        <is>
          <t>test_oversight_sees_every_document_and_a_platform_administrator_does_not</t>
        </is>
      </c>
      <c r="F661" s="3" t="inlineStr">
        <is>
          <t>whole class</t>
        </is>
      </c>
      <c r="G661" s="2" t="n">
        <v>8</v>
      </c>
      <c r="H661" s="2" t="n">
        <v>8</v>
      </c>
      <c r="I661" s="3" t="inlineStr">
        <is>
          <t>consilium/policy/tests/test_handling.py</t>
        </is>
      </c>
    </row>
    <row r="662" ht="30" customHeight="1">
      <c r="A662" s="2" t="inlineStr">
        <is>
          <t>P-13</t>
        </is>
      </c>
      <c r="B662" s="3" t="inlineStr">
        <is>
          <t>POL</t>
        </is>
      </c>
      <c r="C662" s="3" t="inlineStr">
        <is>
          <t>policy.tests.test_handling</t>
        </is>
      </c>
      <c r="D662" s="3" t="inlineStr">
        <is>
          <t>TestVisibility</t>
        </is>
      </c>
      <c r="E662" s="3" t="inlineStr">
        <is>
          <t>test_the_applicability_audience_sees_a_confidential_document_but_not_a_restricted_one</t>
        </is>
      </c>
      <c r="F662" s="3" t="inlineStr">
        <is>
          <t>whole class</t>
        </is>
      </c>
      <c r="G662" s="2" t="n">
        <v>8</v>
      </c>
      <c r="H662" s="2" t="n">
        <v>8</v>
      </c>
      <c r="I662" s="3" t="inlineStr">
        <is>
          <t>consilium/policy/tests/test_handling.py</t>
        </is>
      </c>
    </row>
    <row r="663" ht="30" customHeight="1">
      <c r="A663" s="2" t="inlineStr">
        <is>
          <t>P-13</t>
        </is>
      </c>
      <c r="B663" s="3" t="inlineStr">
        <is>
          <t>POL</t>
        </is>
      </c>
      <c r="C663" s="3" t="inlineStr">
        <is>
          <t>policy.tests.test_handling</t>
        </is>
      </c>
      <c r="D663" s="3" t="inlineStr">
        <is>
          <t>TestVisibility</t>
        </is>
      </c>
      <c r="E663" s="3" t="inlineStr">
        <is>
          <t>test_a_publication_audience_group_sees_it_until_the_publication_is_withdrawn</t>
        </is>
      </c>
      <c r="F663" s="3" t="inlineStr">
        <is>
          <t>whole class</t>
        </is>
      </c>
      <c r="G663" s="2" t="n">
        <v>8</v>
      </c>
      <c r="H663" s="2" t="n">
        <v>8</v>
      </c>
      <c r="I663" s="3" t="inlineStr">
        <is>
          <t>consilium/policy/tests/test_handling.py</t>
        </is>
      </c>
    </row>
    <row r="664" ht="17" customHeight="1">
      <c r="A664" s="2" t="inlineStr">
        <is>
          <t>P-13</t>
        </is>
      </c>
      <c r="B664" s="3" t="inlineStr">
        <is>
          <t>POL</t>
        </is>
      </c>
      <c r="C664" s="3" t="inlineStr">
        <is>
          <t>policy.tests.test_handling</t>
        </is>
      </c>
      <c r="D664" s="3" t="inlineStr">
        <is>
          <t>TestVisibility</t>
        </is>
      </c>
      <c r="E664" s="3" t="inlineStr">
        <is>
          <t>test_a_role_audience_reaches_a_confidential_document_only</t>
        </is>
      </c>
      <c r="F664" s="3" t="inlineStr">
        <is>
          <t>whole class</t>
        </is>
      </c>
      <c r="G664" s="2" t="n">
        <v>8</v>
      </c>
      <c r="H664" s="2" t="n">
        <v>8</v>
      </c>
      <c r="I664" s="3" t="inlineStr">
        <is>
          <t>consilium/policy/tests/test_handling.py</t>
        </is>
      </c>
    </row>
    <row r="665" ht="30" customHeight="1">
      <c r="A665" s="2" t="inlineStr">
        <is>
          <t>P-13</t>
        </is>
      </c>
      <c r="B665" s="3" t="inlineStr">
        <is>
          <t>POL</t>
        </is>
      </c>
      <c r="C665" s="3" t="inlineStr">
        <is>
          <t>policy.tests.test_handling</t>
        </is>
      </c>
      <c r="D665" s="3" t="inlineStr">
        <is>
          <t>TestHandlingChanges</t>
        </is>
      </c>
      <c r="E665" s="3" t="inlineStr">
        <is>
          <t>test_the_owner_may_not_lower_a_restricted_document_and_the_refusal_is_logged</t>
        </is>
      </c>
      <c r="F665" s="3" t="inlineStr">
        <is>
          <t>whole class</t>
        </is>
      </c>
      <c r="G665" s="2" t="n">
        <v>6</v>
      </c>
      <c r="H665" s="2" t="n">
        <v>6</v>
      </c>
      <c r="I665" s="3" t="inlineStr">
        <is>
          <t>consilium/policy/tests/test_handling.py</t>
        </is>
      </c>
    </row>
    <row r="666" ht="30" customHeight="1">
      <c r="A666" s="2" t="inlineStr">
        <is>
          <t>P-13</t>
        </is>
      </c>
      <c r="B666" s="3" t="inlineStr">
        <is>
          <t>POL</t>
        </is>
      </c>
      <c r="C666" s="3" t="inlineStr">
        <is>
          <t>policy.tests.test_handling</t>
        </is>
      </c>
      <c r="D666" s="3" t="inlineStr">
        <is>
          <t>TestHandlingChanges</t>
        </is>
      </c>
      <c r="E666" s="3" t="inlineStr">
        <is>
          <t>test_the_owner_may_not_reopen_download_on_a_confidential_document</t>
        </is>
      </c>
      <c r="F666" s="3" t="inlineStr">
        <is>
          <t>whole class</t>
        </is>
      </c>
      <c r="G666" s="2" t="n">
        <v>6</v>
      </c>
      <c r="H666" s="2" t="n">
        <v>6</v>
      </c>
      <c r="I666" s="3" t="inlineStr">
        <is>
          <t>consilium/policy/tests/test_handling.py</t>
        </is>
      </c>
    </row>
    <row r="667" ht="17" customHeight="1">
      <c r="A667" s="2" t="inlineStr">
        <is>
          <t>P-13</t>
        </is>
      </c>
      <c r="B667" s="3" t="inlineStr">
        <is>
          <t>POL</t>
        </is>
      </c>
      <c r="C667" s="3" t="inlineStr">
        <is>
          <t>policy.tests.test_handling</t>
        </is>
      </c>
      <c r="D667" s="3" t="inlineStr">
        <is>
          <t>TestHandlingChanges</t>
        </is>
      </c>
      <c r="E667" s="3" t="inlineStr">
        <is>
          <t>test_the_policy_office_may_loosen_the_handling</t>
        </is>
      </c>
      <c r="F667" s="3" t="inlineStr">
        <is>
          <t>whole class</t>
        </is>
      </c>
      <c r="G667" s="2" t="n">
        <v>6</v>
      </c>
      <c r="H667" s="2" t="n">
        <v>6</v>
      </c>
      <c r="I667" s="3" t="inlineStr">
        <is>
          <t>consilium/policy/tests/test_handling.py</t>
        </is>
      </c>
    </row>
    <row r="668" ht="17" customHeight="1">
      <c r="A668" s="2" t="inlineStr">
        <is>
          <t>P-13</t>
        </is>
      </c>
      <c r="B668" s="3" t="inlineStr">
        <is>
          <t>POL</t>
        </is>
      </c>
      <c r="C668" s="3" t="inlineStr">
        <is>
          <t>policy.tests.test_handling</t>
        </is>
      </c>
      <c r="D668" s="3" t="inlineStr">
        <is>
          <t>TestHandlingChanges</t>
        </is>
      </c>
      <c r="E668" s="3" t="inlineStr">
        <is>
          <t>test_raising_a_document_closes_the_three_actions</t>
        </is>
      </c>
      <c r="F668" s="3" t="inlineStr">
        <is>
          <t>whole class</t>
        </is>
      </c>
      <c r="G668" s="2" t="n">
        <v>6</v>
      </c>
      <c r="H668" s="2" t="n">
        <v>6</v>
      </c>
      <c r="I668" s="3" t="inlineStr">
        <is>
          <t>consilium/policy/tests/test_handling.py</t>
        </is>
      </c>
    </row>
    <row r="669" ht="30" customHeight="1">
      <c r="A669" s="2" t="inlineStr">
        <is>
          <t>P-13</t>
        </is>
      </c>
      <c r="B669" s="3" t="inlineStr">
        <is>
          <t>POL</t>
        </is>
      </c>
      <c r="C669" s="3" t="inlineStr">
        <is>
          <t>policy.tests.test_handling</t>
        </is>
      </c>
      <c r="D669" s="3" t="inlineStr">
        <is>
          <t>TestHandlingChanges</t>
        </is>
      </c>
      <c r="E669" s="3" t="inlineStr">
        <is>
          <t>test_raising_a_document_moves_its_public_attachments_to_private_storage</t>
        </is>
      </c>
      <c r="F669" s="3" t="inlineStr">
        <is>
          <t>whole class</t>
        </is>
      </c>
      <c r="G669" s="2" t="n">
        <v>6</v>
      </c>
      <c r="H669" s="2" t="n">
        <v>6</v>
      </c>
      <c r="I669" s="3" t="inlineStr">
        <is>
          <t>consilium/policy/tests/test_handling.py</t>
        </is>
      </c>
    </row>
    <row r="670" ht="30" customHeight="1">
      <c r="A670" s="2" t="inlineStr">
        <is>
          <t>P-13</t>
        </is>
      </c>
      <c r="B670" s="3" t="inlineStr">
        <is>
          <t>POL</t>
        </is>
      </c>
      <c r="C670" s="3" t="inlineStr">
        <is>
          <t>policy.tests.test_handling</t>
        </is>
      </c>
      <c r="D670" s="3" t="inlineStr">
        <is>
          <t>TestHandlingChanges</t>
        </is>
      </c>
      <c r="E670" s="3" t="inlineStr">
        <is>
          <t>test_a_new_upload_to_a_restricted_document_is_stored_private</t>
        </is>
      </c>
      <c r="F670" s="3" t="inlineStr">
        <is>
          <t>whole class</t>
        </is>
      </c>
      <c r="G670" s="2" t="n">
        <v>6</v>
      </c>
      <c r="H670" s="2" t="n">
        <v>6</v>
      </c>
      <c r="I670" s="3" t="inlineStr">
        <is>
          <t>consilium/policy/tests/test_handling.py</t>
        </is>
      </c>
    </row>
    <row r="671" ht="17" customHeight="1">
      <c r="A671" s="2" t="inlineStr">
        <is>
          <t>P-13</t>
        </is>
      </c>
      <c r="B671" s="3" t="inlineStr">
        <is>
          <t>POL</t>
        </is>
      </c>
      <c r="C671" s="3" t="inlineStr">
        <is>
          <t>consilium_core.tests.test_delegation</t>
        </is>
      </c>
      <c r="D671" s="3" t="inlineStr">
        <is>
          <t>TestDelegation</t>
        </is>
      </c>
      <c r="E671" s="3" t="inlineStr">
        <is>
          <t>test_a_live_delegation_permits_the_named_action</t>
        </is>
      </c>
      <c r="F671" s="3" t="inlineStr">
        <is>
          <t>whole class</t>
        </is>
      </c>
      <c r="G671" s="2" t="n">
        <v>13</v>
      </c>
      <c r="H671" s="2" t="n">
        <v>13</v>
      </c>
      <c r="I671" s="3" t="inlineStr">
        <is>
          <t>consilium/consilium_core/tests/test_delegation.py</t>
        </is>
      </c>
    </row>
    <row r="672" ht="17" customHeight="1">
      <c r="A672" s="2" t="inlineStr">
        <is>
          <t>P-13</t>
        </is>
      </c>
      <c r="B672" s="3" t="inlineStr">
        <is>
          <t>POL</t>
        </is>
      </c>
      <c r="C672" s="3" t="inlineStr">
        <is>
          <t>consilium_core.tests.test_delegation</t>
        </is>
      </c>
      <c r="D672" s="3" t="inlineStr">
        <is>
          <t>TestDelegation</t>
        </is>
      </c>
      <c r="E672" s="3" t="inlineStr">
        <is>
          <t>test_an_action_that_was_not_delegated_is_refused</t>
        </is>
      </c>
      <c r="F672" s="3" t="inlineStr">
        <is>
          <t>whole class</t>
        </is>
      </c>
      <c r="G672" s="2" t="n">
        <v>13</v>
      </c>
      <c r="H672" s="2" t="n">
        <v>13</v>
      </c>
      <c r="I672" s="3" t="inlineStr">
        <is>
          <t>consilium/consilium_core/tests/test_delegation.py</t>
        </is>
      </c>
    </row>
    <row r="673" ht="17" customHeight="1">
      <c r="A673" s="2" t="inlineStr">
        <is>
          <t>P-13</t>
        </is>
      </c>
      <c r="B673" s="3" t="inlineStr">
        <is>
          <t>POL</t>
        </is>
      </c>
      <c r="C673" s="3" t="inlineStr">
        <is>
          <t>consilium_core.tests.test_delegation</t>
        </is>
      </c>
      <c r="D673" s="3" t="inlineStr">
        <is>
          <t>TestDelegation</t>
        </is>
      </c>
      <c r="E673" s="3" t="inlineStr">
        <is>
          <t>test_a_delegation_outside_its_dates_does_not_apply</t>
        </is>
      </c>
      <c r="F673" s="3" t="inlineStr">
        <is>
          <t>whole class</t>
        </is>
      </c>
      <c r="G673" s="2" t="n">
        <v>13</v>
      </c>
      <c r="H673" s="2" t="n">
        <v>13</v>
      </c>
      <c r="I673" s="3" t="inlineStr">
        <is>
          <t>consilium/consilium_core/tests/test_delegation.py</t>
        </is>
      </c>
    </row>
    <row r="674" ht="17" customHeight="1">
      <c r="A674" s="2" t="inlineStr">
        <is>
          <t>P-13</t>
        </is>
      </c>
      <c r="B674" s="3" t="inlineStr">
        <is>
          <t>POL</t>
        </is>
      </c>
      <c r="C674" s="3" t="inlineStr">
        <is>
          <t>consilium_core.tests.test_delegation</t>
        </is>
      </c>
      <c r="D674" s="3" t="inlineStr">
        <is>
          <t>TestDelegation</t>
        </is>
      </c>
      <c r="E674" s="3" t="inlineStr">
        <is>
          <t>test_a_delegation_of_another_doctype_does_not_apply</t>
        </is>
      </c>
      <c r="F674" s="3" t="inlineStr">
        <is>
          <t>whole class</t>
        </is>
      </c>
      <c r="G674" s="2" t="n">
        <v>13</v>
      </c>
      <c r="H674" s="2" t="n">
        <v>13</v>
      </c>
      <c r="I674" s="3" t="inlineStr">
        <is>
          <t>consilium/consilium_core/tests/test_delegation.py</t>
        </is>
      </c>
    </row>
    <row r="675" ht="17" customHeight="1">
      <c r="A675" s="2" t="inlineStr">
        <is>
          <t>P-13</t>
        </is>
      </c>
      <c r="B675" s="3" t="inlineStr">
        <is>
          <t>POL</t>
        </is>
      </c>
      <c r="C675" s="3" t="inlineStr">
        <is>
          <t>consilium_core.tests.test_delegation</t>
        </is>
      </c>
      <c r="D675" s="3" t="inlineStr">
        <is>
          <t>TestDelegation</t>
        </is>
      </c>
      <c r="E675" s="3" t="inlineStr">
        <is>
          <t>test_a_record_scope_covers_only_that_record</t>
        </is>
      </c>
      <c r="F675" s="3" t="inlineStr">
        <is>
          <t>whole class</t>
        </is>
      </c>
      <c r="G675" s="2" t="n">
        <v>13</v>
      </c>
      <c r="H675" s="2" t="n">
        <v>13</v>
      </c>
      <c r="I675" s="3" t="inlineStr">
        <is>
          <t>consilium/consilium_core/tests/test_delegation.py</t>
        </is>
      </c>
    </row>
    <row r="676" ht="17" customHeight="1">
      <c r="A676" s="2" t="inlineStr">
        <is>
          <t>P-13</t>
        </is>
      </c>
      <c r="B676" s="3" t="inlineStr">
        <is>
          <t>POL</t>
        </is>
      </c>
      <c r="C676" s="3" t="inlineStr">
        <is>
          <t>consilium_core.tests.test_delegation</t>
        </is>
      </c>
      <c r="D676" s="3" t="inlineStr">
        <is>
          <t>TestDelegation</t>
        </is>
      </c>
      <c r="E676" s="3" t="inlineStr">
        <is>
          <t>test_a_third_party_is_not_covered</t>
        </is>
      </c>
      <c r="F676" s="3" t="inlineStr">
        <is>
          <t>whole class</t>
        </is>
      </c>
      <c r="G676" s="2" t="n">
        <v>13</v>
      </c>
      <c r="H676" s="2" t="n">
        <v>13</v>
      </c>
      <c r="I676" s="3" t="inlineStr">
        <is>
          <t>consilium/consilium_core/tests/test_delegation.py</t>
        </is>
      </c>
    </row>
    <row r="677" ht="17" customHeight="1">
      <c r="A677" s="2" t="inlineStr">
        <is>
          <t>P-13</t>
        </is>
      </c>
      <c r="B677" s="3" t="inlineStr">
        <is>
          <t>POL</t>
        </is>
      </c>
      <c r="C677" s="3" t="inlineStr">
        <is>
          <t>consilium_core.tests.test_delegation</t>
        </is>
      </c>
      <c r="D677" s="3" t="inlineStr">
        <is>
          <t>TestDelegation</t>
        </is>
      </c>
      <c r="E677" s="3" t="inlineStr">
        <is>
          <t>test_the_accountable_person_always_acts_for_themselves</t>
        </is>
      </c>
      <c r="F677" s="3" t="inlineStr">
        <is>
          <t>whole class</t>
        </is>
      </c>
      <c r="G677" s="2" t="n">
        <v>13</v>
      </c>
      <c r="H677" s="2" t="n">
        <v>13</v>
      </c>
      <c r="I677" s="3" t="inlineStr">
        <is>
          <t>consilium/consilium_core/tests/test_delegation.py</t>
        </is>
      </c>
    </row>
    <row r="678" ht="17" customHeight="1">
      <c r="A678" s="2" t="inlineStr">
        <is>
          <t>P-13</t>
        </is>
      </c>
      <c r="B678" s="3" t="inlineStr">
        <is>
          <t>POL</t>
        </is>
      </c>
      <c r="C678" s="3" t="inlineStr">
        <is>
          <t>consilium_core.tests.test_delegation</t>
        </is>
      </c>
      <c r="D678" s="3" t="inlineStr">
        <is>
          <t>TestDelegation</t>
        </is>
      </c>
      <c r="E678" s="3" t="inlineStr">
        <is>
          <t>test_self_delegation_is_rejected</t>
        </is>
      </c>
      <c r="F678" s="3" t="inlineStr">
        <is>
          <t>whole class</t>
        </is>
      </c>
      <c r="G678" s="2" t="n">
        <v>13</v>
      </c>
      <c r="H678" s="2" t="n">
        <v>13</v>
      </c>
      <c r="I678" s="3" t="inlineStr">
        <is>
          <t>consilium/consilium_core/tests/test_delegation.py</t>
        </is>
      </c>
    </row>
    <row r="679" ht="17" customHeight="1">
      <c r="A679" s="2" t="inlineStr">
        <is>
          <t>P-13</t>
        </is>
      </c>
      <c r="B679" s="3" t="inlineStr">
        <is>
          <t>POL</t>
        </is>
      </c>
      <c r="C679" s="3" t="inlineStr">
        <is>
          <t>consilium_core.tests.test_delegation</t>
        </is>
      </c>
      <c r="D679" s="3" t="inlineStr">
        <is>
          <t>TestDelegation</t>
        </is>
      </c>
      <c r="E679" s="3" t="inlineStr">
        <is>
          <t>test_a_delegation_ending_before_it_starts_is_rejected</t>
        </is>
      </c>
      <c r="F679" s="3" t="inlineStr">
        <is>
          <t>whole class</t>
        </is>
      </c>
      <c r="G679" s="2" t="n">
        <v>13</v>
      </c>
      <c r="H679" s="2" t="n">
        <v>13</v>
      </c>
      <c r="I679" s="3" t="inlineStr">
        <is>
          <t>consilium/consilium_core/tests/test_delegation.py</t>
        </is>
      </c>
    </row>
    <row r="680" ht="17" customHeight="1">
      <c r="A680" s="2" t="inlineStr">
        <is>
          <t>P-13</t>
        </is>
      </c>
      <c r="B680" s="3" t="inlineStr">
        <is>
          <t>POL</t>
        </is>
      </c>
      <c r="C680" s="3" t="inlineStr">
        <is>
          <t>consilium_core.tests.test_delegation</t>
        </is>
      </c>
      <c r="D680" s="3" t="inlineStr">
        <is>
          <t>TestDelegation</t>
        </is>
      </c>
      <c r="E680" s="3" t="inlineStr">
        <is>
          <t>test_a_delegation_with_no_actions_is_rejected</t>
        </is>
      </c>
      <c r="F680" s="3" t="inlineStr">
        <is>
          <t>whole class</t>
        </is>
      </c>
      <c r="G680" s="2" t="n">
        <v>13</v>
      </c>
      <c r="H680" s="2" t="n">
        <v>13</v>
      </c>
      <c r="I680" s="3" t="inlineStr">
        <is>
          <t>consilium/consilium_core/tests/test_delegation.py</t>
        </is>
      </c>
    </row>
    <row r="681" ht="17" customHeight="1">
      <c r="A681" s="2" t="inlineStr">
        <is>
          <t>P-13</t>
        </is>
      </c>
      <c r="B681" s="3" t="inlineStr">
        <is>
          <t>POL</t>
        </is>
      </c>
      <c r="C681" s="3" t="inlineStr">
        <is>
          <t>consilium_core.tests.test_delegation</t>
        </is>
      </c>
      <c r="D681" s="3" t="inlineStr">
        <is>
          <t>TestDelegation</t>
        </is>
      </c>
      <c r="E681" s="3" t="inlineStr">
        <is>
          <t>test_a_record_scope_without_a_record_is_rejected</t>
        </is>
      </c>
      <c r="F681" s="3" t="inlineStr">
        <is>
          <t>whole class</t>
        </is>
      </c>
      <c r="G681" s="2" t="n">
        <v>13</v>
      </c>
      <c r="H681" s="2" t="n">
        <v>13</v>
      </c>
      <c r="I681" s="3" t="inlineStr">
        <is>
          <t>consilium/consilium_core/tests/test_delegation.py</t>
        </is>
      </c>
    </row>
    <row r="682" ht="17" customHeight="1">
      <c r="A682" s="2" t="inlineStr">
        <is>
          <t>P-13</t>
        </is>
      </c>
      <c r="B682" s="3" t="inlineStr">
        <is>
          <t>POL</t>
        </is>
      </c>
      <c r="C682" s="3" t="inlineStr">
        <is>
          <t>consilium_core.tests.test_delegation</t>
        </is>
      </c>
      <c r="D682" s="3" t="inlineStr">
        <is>
          <t>TestDelegation</t>
        </is>
      </c>
      <c r="E682" s="3" t="inlineStr">
        <is>
          <t>test_the_sweep_corrects_a_stale_flag</t>
        </is>
      </c>
      <c r="F682" s="3" t="inlineStr">
        <is>
          <t>whole class</t>
        </is>
      </c>
      <c r="G682" s="2" t="n">
        <v>13</v>
      </c>
      <c r="H682" s="2" t="n">
        <v>13</v>
      </c>
      <c r="I682" s="3" t="inlineStr">
        <is>
          <t>consilium/consilium_core/tests/test_delegation.py</t>
        </is>
      </c>
    </row>
    <row r="683" ht="17" customHeight="1">
      <c r="A683" s="2" t="inlineStr">
        <is>
          <t>P-13</t>
        </is>
      </c>
      <c r="B683" s="3" t="inlineStr">
        <is>
          <t>POL</t>
        </is>
      </c>
      <c r="C683" s="3" t="inlineStr">
        <is>
          <t>consilium_core.tests.test_delegation</t>
        </is>
      </c>
      <c r="D683" s="3" t="inlineStr">
        <is>
          <t>TestDelegation</t>
        </is>
      </c>
      <c r="E683" s="3" t="inlineStr">
        <is>
          <t>test_the_database_backstops_the_date_validation</t>
        </is>
      </c>
      <c r="F683" s="3" t="inlineStr">
        <is>
          <t>whole class</t>
        </is>
      </c>
      <c r="G683" s="2" t="n">
        <v>13</v>
      </c>
      <c r="H683" s="2" t="n">
        <v>13</v>
      </c>
      <c r="I683" s="3" t="inlineStr">
        <is>
          <t>consilium/consilium_core/tests/test_delegation.py</t>
        </is>
      </c>
    </row>
    <row r="684" ht="17" customHeight="1">
      <c r="A684" s="2" t="inlineStr">
        <is>
          <t>P-13</t>
        </is>
      </c>
      <c r="B684" s="3" t="inlineStr">
        <is>
          <t>POL</t>
        </is>
      </c>
      <c r="C684" s="3" t="inlineStr">
        <is>
          <t>policy.tests.test_wave3</t>
        </is>
      </c>
      <c r="D684" s="3" t="inlineStr">
        <is>
          <t>TestGateExceptions</t>
        </is>
      </c>
      <c r="E684" s="3" t="inlineStr">
        <is>
          <t>test_nobody_approves_their_own_request</t>
        </is>
      </c>
      <c r="F684" s="3" t="inlineStr">
        <is>
          <t>named method</t>
        </is>
      </c>
      <c r="G684" s="2" t="n"/>
      <c r="H684" s="2" t="n">
        <v>1</v>
      </c>
      <c r="I684" s="3" t="inlineStr">
        <is>
          <t>consilium/policy/tests/test_wave3.py</t>
        </is>
      </c>
    </row>
    <row r="685" ht="30" customHeight="1">
      <c r="A685" s="2" t="inlineStr">
        <is>
          <t>P-14</t>
        </is>
      </c>
      <c r="B685" s="3" t="inlineStr">
        <is>
          <t>POL</t>
        </is>
      </c>
      <c r="C685" s="3" t="inlineStr">
        <is>
          <t>consilium_core.tests.test_notification_templates</t>
        </is>
      </c>
      <c r="D685" s="3" t="inlineStr">
        <is>
          <t>TestEventApi</t>
        </is>
      </c>
      <c r="E685" s="3" t="inlineStr">
        <is>
          <t>test_a_template_is_rendered_against_the_context_and_the_record</t>
        </is>
      </c>
      <c r="F685" s="3" t="inlineStr">
        <is>
          <t>whole class</t>
        </is>
      </c>
      <c r="G685" s="2" t="n">
        <v>10</v>
      </c>
      <c r="H685" s="2" t="n">
        <v>10</v>
      </c>
      <c r="I685" s="3" t="inlineStr">
        <is>
          <t>consilium/consilium_core/tests/test_notification_templates.py</t>
        </is>
      </c>
    </row>
    <row r="686" ht="30" customHeight="1">
      <c r="A686" s="2" t="inlineStr">
        <is>
          <t>P-14</t>
        </is>
      </c>
      <c r="B686" s="3" t="inlineStr">
        <is>
          <t>POL</t>
        </is>
      </c>
      <c r="C686" s="3" t="inlineStr">
        <is>
          <t>consilium_core.tests.test_notification_templates</t>
        </is>
      </c>
      <c r="D686" s="3" t="inlineStr">
        <is>
          <t>TestEventApi</t>
        </is>
      </c>
      <c r="E686" s="3" t="inlineStr">
        <is>
          <t>test_email_is_handed_to_the_framework_mail_queue</t>
        </is>
      </c>
      <c r="F686" s="3" t="inlineStr">
        <is>
          <t>whole class</t>
        </is>
      </c>
      <c r="G686" s="2" t="n">
        <v>10</v>
      </c>
      <c r="H686" s="2" t="n">
        <v>10</v>
      </c>
      <c r="I686" s="3" t="inlineStr">
        <is>
          <t>consilium/consilium_core/tests/test_notification_templates.py</t>
        </is>
      </c>
    </row>
    <row r="687" ht="30" customHeight="1">
      <c r="A687" s="2" t="inlineStr">
        <is>
          <t>P-14</t>
        </is>
      </c>
      <c r="B687" s="3" t="inlineStr">
        <is>
          <t>POL</t>
        </is>
      </c>
      <c r="C687" s="3" t="inlineStr">
        <is>
          <t>consilium_core.tests.test_notification_templates</t>
        </is>
      </c>
      <c r="D687" s="3" t="inlineStr">
        <is>
          <t>TestEventApi</t>
        </is>
      </c>
      <c r="E687" s="3" t="inlineStr">
        <is>
          <t>test_one_event_can_go_to_two_channels</t>
        </is>
      </c>
      <c r="F687" s="3" t="inlineStr">
        <is>
          <t>whole class</t>
        </is>
      </c>
      <c r="G687" s="2" t="n">
        <v>10</v>
      </c>
      <c r="H687" s="2" t="n">
        <v>10</v>
      </c>
      <c r="I687" s="3" t="inlineStr">
        <is>
          <t>consilium/consilium_core/tests/test_notification_templates.py</t>
        </is>
      </c>
    </row>
    <row r="688" ht="30" customHeight="1">
      <c r="A688" s="2" t="inlineStr">
        <is>
          <t>P-14</t>
        </is>
      </c>
      <c r="B688" s="3" t="inlineStr">
        <is>
          <t>POL</t>
        </is>
      </c>
      <c r="C688" s="3" t="inlineStr">
        <is>
          <t>consilium_core.tests.test_notification_templates</t>
        </is>
      </c>
      <c r="D688" s="3" t="inlineStr">
        <is>
          <t>TestEventApi</t>
        </is>
      </c>
      <c r="E688" s="3" t="inlineStr">
        <is>
          <t>test_without_outgoing_email_the_record_channel_is_used_and_nothing_fails</t>
        </is>
      </c>
      <c r="F688" s="3" t="inlineStr">
        <is>
          <t>whole class</t>
        </is>
      </c>
      <c r="G688" s="2" t="n">
        <v>10</v>
      </c>
      <c r="H688" s="2" t="n">
        <v>10</v>
      </c>
      <c r="I688" s="3" t="inlineStr">
        <is>
          <t>consilium/consilium_core/tests/test_notification_templates.py</t>
        </is>
      </c>
    </row>
    <row r="689" ht="30" customHeight="1">
      <c r="A689" s="2" t="inlineStr">
        <is>
          <t>P-14</t>
        </is>
      </c>
      <c r="B689" s="3" t="inlineStr">
        <is>
          <t>POL</t>
        </is>
      </c>
      <c r="C689" s="3" t="inlineStr">
        <is>
          <t>consilium_core.tests.test_notification_templates</t>
        </is>
      </c>
      <c r="D689" s="3" t="inlineStr">
        <is>
          <t>TestEventApi</t>
        </is>
      </c>
      <c r="E689" s="3" t="inlineStr">
        <is>
          <t>test_a_person_who_turned_email_off_is_not_emailed_and_the_refusal_is_recorded</t>
        </is>
      </c>
      <c r="F689" s="3" t="inlineStr">
        <is>
          <t>whole class</t>
        </is>
      </c>
      <c r="G689" s="2" t="n">
        <v>10</v>
      </c>
      <c r="H689" s="2" t="n">
        <v>10</v>
      </c>
      <c r="I689" s="3" t="inlineStr">
        <is>
          <t>consilium/consilium_core/tests/test_notification_templates.py</t>
        </is>
      </c>
    </row>
    <row r="690" ht="30" customHeight="1">
      <c r="A690" s="2" t="inlineStr">
        <is>
          <t>P-14</t>
        </is>
      </c>
      <c r="B690" s="3" t="inlineStr">
        <is>
          <t>POL</t>
        </is>
      </c>
      <c r="C690" s="3" t="inlineStr">
        <is>
          <t>consilium_core.tests.test_notification_templates</t>
        </is>
      </c>
      <c r="D690" s="3" t="inlineStr">
        <is>
          <t>TestEventApi</t>
        </is>
      </c>
      <c r="E690" s="3" t="inlineStr">
        <is>
          <t>test_a_disabled_account_is_not_emailed</t>
        </is>
      </c>
      <c r="F690" s="3" t="inlineStr">
        <is>
          <t>whole class</t>
        </is>
      </c>
      <c r="G690" s="2" t="n">
        <v>10</v>
      </c>
      <c r="H690" s="2" t="n">
        <v>10</v>
      </c>
      <c r="I690" s="3" t="inlineStr">
        <is>
          <t>consilium/consilium_core/tests/test_notification_templates.py</t>
        </is>
      </c>
    </row>
    <row r="691" ht="30" customHeight="1">
      <c r="A691" s="2" t="inlineStr">
        <is>
          <t>P-14</t>
        </is>
      </c>
      <c r="B691" s="3" t="inlineStr">
        <is>
          <t>POL</t>
        </is>
      </c>
      <c r="C691" s="3" t="inlineStr">
        <is>
          <t>consilium_core.tests.test_notification_templates</t>
        </is>
      </c>
      <c r="D691" s="3" t="inlineStr">
        <is>
          <t>TestEventApi</t>
        </is>
      </c>
      <c r="E691" s="3" t="inlineStr">
        <is>
          <t>test_an_event_with_no_active_template_is_still_recorded</t>
        </is>
      </c>
      <c r="F691" s="3" t="inlineStr">
        <is>
          <t>whole class</t>
        </is>
      </c>
      <c r="G691" s="2" t="n">
        <v>10</v>
      </c>
      <c r="H691" s="2" t="n">
        <v>10</v>
      </c>
      <c r="I691" s="3" t="inlineStr">
        <is>
          <t>consilium/consilium_core/tests/test_notification_templates.py</t>
        </is>
      </c>
    </row>
    <row r="692" ht="30" customHeight="1">
      <c r="A692" s="2" t="inlineStr">
        <is>
          <t>P-14</t>
        </is>
      </c>
      <c r="B692" s="3" t="inlineStr">
        <is>
          <t>POL</t>
        </is>
      </c>
      <c r="C692" s="3" t="inlineStr">
        <is>
          <t>consilium_core.tests.test_notification_templates</t>
        </is>
      </c>
      <c r="D692" s="3" t="inlineStr">
        <is>
          <t>TestEventApi</t>
        </is>
      </c>
      <c r="E692" s="3" t="inlineStr">
        <is>
          <t>test_a_known_event_without_templates_uses_its_built_in_wording</t>
        </is>
      </c>
      <c r="F692" s="3" t="inlineStr">
        <is>
          <t>whole class</t>
        </is>
      </c>
      <c r="G692" s="2" t="n">
        <v>10</v>
      </c>
      <c r="H692" s="2" t="n">
        <v>10</v>
      </c>
      <c r="I692" s="3" t="inlineStr">
        <is>
          <t>consilium/consilium_core/tests/test_notification_templates.py</t>
        </is>
      </c>
    </row>
    <row r="693" ht="30" customHeight="1">
      <c r="A693" s="2" t="inlineStr">
        <is>
          <t>P-14</t>
        </is>
      </c>
      <c r="B693" s="3" t="inlineStr">
        <is>
          <t>POL</t>
        </is>
      </c>
      <c r="C693" s="3" t="inlineStr">
        <is>
          <t>consilium_core.tests.test_notification_templates</t>
        </is>
      </c>
      <c r="D693" s="3" t="inlineStr">
        <is>
          <t>TestEventApi</t>
        </is>
      </c>
      <c r="E693" s="3" t="inlineStr">
        <is>
          <t>test_people_who_are_not_users_are_dropped</t>
        </is>
      </c>
      <c r="F693" s="3" t="inlineStr">
        <is>
          <t>whole class</t>
        </is>
      </c>
      <c r="G693" s="2" t="n">
        <v>10</v>
      </c>
      <c r="H693" s="2" t="n">
        <v>10</v>
      </c>
      <c r="I693" s="3" t="inlineStr">
        <is>
          <t>consilium/consilium_core/tests/test_notification_templates.py</t>
        </is>
      </c>
    </row>
    <row r="694" ht="30" customHeight="1">
      <c r="A694" s="2" t="inlineStr">
        <is>
          <t>P-14</t>
        </is>
      </c>
      <c r="B694" s="3" t="inlineStr">
        <is>
          <t>POL</t>
        </is>
      </c>
      <c r="C694" s="3" t="inlineStr">
        <is>
          <t>consilium_core.tests.test_notification_templates</t>
        </is>
      </c>
      <c r="D694" s="3" t="inlineStr">
        <is>
          <t>TestEventApi</t>
        </is>
      </c>
      <c r="E694" s="3" t="inlineStr">
        <is>
          <t>test_a_long_subject_is_shortened_rather_than_refused</t>
        </is>
      </c>
      <c r="F694" s="3" t="inlineStr">
        <is>
          <t>whole class</t>
        </is>
      </c>
      <c r="G694" s="2" t="n">
        <v>10</v>
      </c>
      <c r="H694" s="2" t="n">
        <v>10</v>
      </c>
      <c r="I694" s="3" t="inlineStr">
        <is>
          <t>consilium/consilium_core/tests/test_notification_templates.py</t>
        </is>
      </c>
    </row>
    <row r="695" ht="30" customHeight="1">
      <c r="A695" s="2" t="inlineStr">
        <is>
          <t>P-14</t>
        </is>
      </c>
      <c r="B695" s="3" t="inlineStr">
        <is>
          <t>POL</t>
        </is>
      </c>
      <c r="C695" s="3" t="inlineStr">
        <is>
          <t>consilium_core.tests.test_notification_templates</t>
        </is>
      </c>
      <c r="D695" s="3" t="inlineStr">
        <is>
          <t>TestSeeding</t>
        </is>
      </c>
      <c r="E695" s="3" t="inlineStr">
        <is>
          <t>test_every_event_the_application_raises_has_a_template</t>
        </is>
      </c>
      <c r="F695" s="3" t="inlineStr">
        <is>
          <t>whole class</t>
        </is>
      </c>
      <c r="G695" s="2" t="n">
        <v>2</v>
      </c>
      <c r="H695" s="2" t="n">
        <v>2</v>
      </c>
      <c r="I695" s="3" t="inlineStr">
        <is>
          <t>consilium/consilium_core/tests/test_notification_templates.py</t>
        </is>
      </c>
    </row>
    <row r="696" ht="30" customHeight="1">
      <c r="A696" s="2" t="inlineStr">
        <is>
          <t>P-14</t>
        </is>
      </c>
      <c r="B696" s="3" t="inlineStr">
        <is>
          <t>POL</t>
        </is>
      </c>
      <c r="C696" s="3" t="inlineStr">
        <is>
          <t>consilium_core.tests.test_notification_templates</t>
        </is>
      </c>
      <c r="D696" s="3" t="inlineStr">
        <is>
          <t>TestSeeding</t>
        </is>
      </c>
      <c r="E696" s="3" t="inlineStr">
        <is>
          <t>test_seeding_twice_changes_nothing_and_keeps_an_administrators_wording</t>
        </is>
      </c>
      <c r="F696" s="3" t="inlineStr">
        <is>
          <t>whole class</t>
        </is>
      </c>
      <c r="G696" s="2" t="n">
        <v>2</v>
      </c>
      <c r="H696" s="2" t="n">
        <v>2</v>
      </c>
      <c r="I696" s="3" t="inlineStr">
        <is>
          <t>consilium/consilium_core/tests/test_notification_templates.py</t>
        </is>
      </c>
    </row>
    <row r="697" ht="17" customHeight="1">
      <c r="A697" s="2" t="inlineStr">
        <is>
          <t>P-14</t>
        </is>
      </c>
      <c r="B697" s="3" t="inlineStr">
        <is>
          <t>POL</t>
        </is>
      </c>
      <c r="C697" s="3" t="inlineStr">
        <is>
          <t>policy.tests.test_wave3_policy</t>
        </is>
      </c>
      <c r="D697" s="3" t="inlineStr">
        <is>
          <t>TestAudienceNotice</t>
        </is>
      </c>
      <c r="E697" s="3" t="inlineStr">
        <is>
          <t>test_the_audience_notice_is_the_templated_event</t>
        </is>
      </c>
      <c r="F697" s="3" t="inlineStr">
        <is>
          <t>whole class</t>
        </is>
      </c>
      <c r="G697" s="2" t="n">
        <v>1</v>
      </c>
      <c r="H697" s="2" t="n">
        <v>1</v>
      </c>
      <c r="I697" s="3" t="inlineStr">
        <is>
          <t>consilium/policy/tests/test_wave3_policy.py</t>
        </is>
      </c>
    </row>
    <row r="698" ht="17" customHeight="1">
      <c r="A698" s="2" t="inlineStr">
        <is>
          <t>P-14</t>
        </is>
      </c>
      <c r="B698" s="3" t="inlineStr">
        <is>
          <t>POL</t>
        </is>
      </c>
      <c r="C698" s="3" t="inlineStr">
        <is>
          <t>policy.tests.test_wave3</t>
        </is>
      </c>
      <c r="D698" s="3" t="inlineStr">
        <is>
          <t>TestChangeAndRetirement</t>
        </is>
      </c>
      <c r="E698" s="3" t="inlineStr">
        <is>
          <t>test_first_publication_is_not_announced_as_a_change</t>
        </is>
      </c>
      <c r="F698" s="3" t="inlineStr">
        <is>
          <t>whole class</t>
        </is>
      </c>
      <c r="G698" s="2" t="n">
        <v>6</v>
      </c>
      <c r="H698" s="2" t="n">
        <v>6</v>
      </c>
      <c r="I698" s="3" t="inlineStr">
        <is>
          <t>consilium/policy/tests/test_wave3.py</t>
        </is>
      </c>
    </row>
    <row r="699" ht="17" customHeight="1">
      <c r="A699" s="2" t="inlineStr">
        <is>
          <t>P-14</t>
        </is>
      </c>
      <c r="B699" s="3" t="inlineStr">
        <is>
          <t>POL</t>
        </is>
      </c>
      <c r="C699" s="3" t="inlineStr">
        <is>
          <t>policy.tests.test_wave3</t>
        </is>
      </c>
      <c r="D699" s="3" t="inlineStr">
        <is>
          <t>TestChangeAndRetirement</t>
        </is>
      </c>
      <c r="E699" s="3" t="inlineStr">
        <is>
          <t>test_a_new_version_in_force_is_announced_to_the_audience</t>
        </is>
      </c>
      <c r="F699" s="3" t="inlineStr">
        <is>
          <t>whole class</t>
        </is>
      </c>
      <c r="G699" s="2" t="n">
        <v>6</v>
      </c>
      <c r="H699" s="2" t="n">
        <v>6</v>
      </c>
      <c r="I699" s="3" t="inlineStr">
        <is>
          <t>consilium/policy/tests/test_wave3.py</t>
        </is>
      </c>
    </row>
    <row r="700" ht="30" customHeight="1">
      <c r="A700" s="2" t="inlineStr">
        <is>
          <t>P-14</t>
        </is>
      </c>
      <c r="B700" s="3" t="inlineStr">
        <is>
          <t>POL</t>
        </is>
      </c>
      <c r="C700" s="3" t="inlineStr">
        <is>
          <t>policy.tests.test_wave3</t>
        </is>
      </c>
      <c r="D700" s="3" t="inlineStr">
        <is>
          <t>TestChangeAndRetirement</t>
        </is>
      </c>
      <c r="E700" s="3" t="inlineStr">
        <is>
          <t>test_retirement_records_a_disposition_tells_the_audience_and_deletes_nothing</t>
        </is>
      </c>
      <c r="F700" s="3" t="inlineStr">
        <is>
          <t>whole class</t>
        </is>
      </c>
      <c r="G700" s="2" t="n">
        <v>6</v>
      </c>
      <c r="H700" s="2" t="n">
        <v>6</v>
      </c>
      <c r="I700" s="3" t="inlineStr">
        <is>
          <t>consilium/policy/tests/test_wave3.py</t>
        </is>
      </c>
    </row>
    <row r="701" ht="17" customHeight="1">
      <c r="A701" s="2" t="inlineStr">
        <is>
          <t>P-14</t>
        </is>
      </c>
      <c r="B701" s="3" t="inlineStr">
        <is>
          <t>POL</t>
        </is>
      </c>
      <c r="C701" s="3" t="inlineStr">
        <is>
          <t>policy.tests.test_wave3</t>
        </is>
      </c>
      <c r="D701" s="3" t="inlineStr">
        <is>
          <t>TestChangeAndRetirement</t>
        </is>
      </c>
      <c r="E701" s="3" t="inlineStr">
        <is>
          <t>test_retiring_from_the_portal_needs_a_reason</t>
        </is>
      </c>
      <c r="F701" s="3" t="inlineStr">
        <is>
          <t>whole class</t>
        </is>
      </c>
      <c r="G701" s="2" t="n">
        <v>6</v>
      </c>
      <c r="H701" s="2" t="n">
        <v>6</v>
      </c>
      <c r="I701" s="3" t="inlineStr">
        <is>
          <t>consilium/policy/tests/test_wave3.py</t>
        </is>
      </c>
    </row>
    <row r="702" ht="17" customHeight="1">
      <c r="A702" s="2" t="inlineStr">
        <is>
          <t>P-14</t>
        </is>
      </c>
      <c r="B702" s="3" t="inlineStr">
        <is>
          <t>POL</t>
        </is>
      </c>
      <c r="C702" s="3" t="inlineStr">
        <is>
          <t>policy.tests.test_wave3</t>
        </is>
      </c>
      <c r="D702" s="3" t="inlineStr">
        <is>
          <t>TestChangeAndRetirement</t>
        </is>
      </c>
      <c r="E702" s="3" t="inlineStr">
        <is>
          <t>test_a_disposition_cannot_be_rewritten</t>
        </is>
      </c>
      <c r="F702" s="3" t="inlineStr">
        <is>
          <t>whole class</t>
        </is>
      </c>
      <c r="G702" s="2" t="n">
        <v>6</v>
      </c>
      <c r="H702" s="2" t="n">
        <v>6</v>
      </c>
      <c r="I702" s="3" t="inlineStr">
        <is>
          <t>consilium/policy/tests/test_wave3.py</t>
        </is>
      </c>
    </row>
    <row r="703" ht="30" customHeight="1">
      <c r="A703" s="2" t="inlineStr">
        <is>
          <t>P-14</t>
        </is>
      </c>
      <c r="B703" s="3" t="inlineStr">
        <is>
          <t>POL</t>
        </is>
      </c>
      <c r="C703" s="3" t="inlineStr">
        <is>
          <t>policy.tests.test_wave3</t>
        </is>
      </c>
      <c r="D703" s="3" t="inlineStr">
        <is>
          <t>TestChangeAndRetirement</t>
        </is>
      </c>
      <c r="E703" s="3" t="inlineStr">
        <is>
          <t>test_change_and_retirement_requests_are_fulfilled_by_the_documents_movement</t>
        </is>
      </c>
      <c r="F703" s="3" t="inlineStr">
        <is>
          <t>whole class</t>
        </is>
      </c>
      <c r="G703" s="2" t="n">
        <v>6</v>
      </c>
      <c r="H703" s="2" t="n">
        <v>6</v>
      </c>
      <c r="I703" s="3" t="inlineStr">
        <is>
          <t>consilium/policy/tests/test_wave3.py</t>
        </is>
      </c>
    </row>
    <row r="704" ht="30" customHeight="1">
      <c r="A704" s="2" t="inlineStr">
        <is>
          <t>P-14</t>
        </is>
      </c>
      <c r="B704" s="3" t="inlineStr">
        <is>
          <t>POL</t>
        </is>
      </c>
      <c r="C704" s="3" t="inlineStr">
        <is>
          <t>policy.tests.test_wave3</t>
        </is>
      </c>
      <c r="D704" s="3" t="inlineStr">
        <is>
          <t>TestReviewerReturn</t>
        </is>
      </c>
      <c r="E704" s="3" t="inlineStr">
        <is>
          <t>test_a_reviewer_returns_with_comments_and_the_owner_is_told</t>
        </is>
      </c>
      <c r="F704" s="3" t="inlineStr">
        <is>
          <t>named method</t>
        </is>
      </c>
      <c r="G704" s="2" t="n"/>
      <c r="H704" s="2" t="n">
        <v>1</v>
      </c>
      <c r="I704" s="3" t="inlineStr">
        <is>
          <t>consilium/policy/tests/test_wave3.py</t>
        </is>
      </c>
    </row>
    <row r="705" ht="17" customHeight="1">
      <c r="A705" s="2" t="inlineStr">
        <is>
          <t>P-14</t>
        </is>
      </c>
      <c r="B705" s="3" t="inlineStr">
        <is>
          <t>POL</t>
        </is>
      </c>
      <c r="C705" s="3" t="inlineStr">
        <is>
          <t>consilium_core.tests.test_reminders</t>
        </is>
      </c>
      <c r="D705" s="3" t="inlineStr">
        <is>
          <t>TestDocumentReviewReminders</t>
        </is>
      </c>
      <c r="E705" s="3" t="inlineStr">
        <is>
          <t>test_the_owner_is_told_a_review_is_coming</t>
        </is>
      </c>
      <c r="F705" s="3" t="inlineStr">
        <is>
          <t>whole class</t>
        </is>
      </c>
      <c r="G705" s="2" t="n">
        <v>9</v>
      </c>
      <c r="H705" s="2" t="n">
        <v>9</v>
      </c>
      <c r="I705" s="3" t="inlineStr">
        <is>
          <t>consilium/consilium_core/tests/test_reminders.py</t>
        </is>
      </c>
    </row>
    <row r="706" ht="17" customHeight="1">
      <c r="A706" s="2" t="inlineStr">
        <is>
          <t>P-14</t>
        </is>
      </c>
      <c r="B706" s="3" t="inlineStr">
        <is>
          <t>POL</t>
        </is>
      </c>
      <c r="C706" s="3" t="inlineStr">
        <is>
          <t>consilium_core.tests.test_reminders</t>
        </is>
      </c>
      <c r="D706" s="3" t="inlineStr">
        <is>
          <t>TestDocumentReviewReminders</t>
        </is>
      </c>
      <c r="E706" s="3" t="inlineStr">
        <is>
          <t>test_nothing_is_sent_outside_the_notice_period</t>
        </is>
      </c>
      <c r="F706" s="3" t="inlineStr">
        <is>
          <t>whole class</t>
        </is>
      </c>
      <c r="G706" s="2" t="n">
        <v>9</v>
      </c>
      <c r="H706" s="2" t="n">
        <v>9</v>
      </c>
      <c r="I706" s="3" t="inlineStr">
        <is>
          <t>consilium/consilium_core/tests/test_reminders.py</t>
        </is>
      </c>
    </row>
    <row r="707" ht="17" customHeight="1">
      <c r="A707" s="2" t="inlineStr">
        <is>
          <t>P-14</t>
        </is>
      </c>
      <c r="B707" s="3" t="inlineStr">
        <is>
          <t>POL</t>
        </is>
      </c>
      <c r="C707" s="3" t="inlineStr">
        <is>
          <t>consilium_core.tests.test_reminders</t>
        </is>
      </c>
      <c r="D707" s="3" t="inlineStr">
        <is>
          <t>TestDocumentReviewReminders</t>
        </is>
      </c>
      <c r="E707" s="3" t="inlineStr">
        <is>
          <t>test_running_the_daily_job_twice_sends_one_reminder</t>
        </is>
      </c>
      <c r="F707" s="3" t="inlineStr">
        <is>
          <t>whole class</t>
        </is>
      </c>
      <c r="G707" s="2" t="n">
        <v>9</v>
      </c>
      <c r="H707" s="2" t="n">
        <v>9</v>
      </c>
      <c r="I707" s="3" t="inlineStr">
        <is>
          <t>consilium/consilium_core/tests/test_reminders.py</t>
        </is>
      </c>
    </row>
    <row r="708" ht="17" customHeight="1">
      <c r="A708" s="2" t="inlineStr">
        <is>
          <t>P-14</t>
        </is>
      </c>
      <c r="B708" s="3" t="inlineStr">
        <is>
          <t>POL</t>
        </is>
      </c>
      <c r="C708" s="3" t="inlineStr">
        <is>
          <t>consilium_core.tests.test_reminders</t>
        </is>
      </c>
      <c r="D708" s="3" t="inlineStr">
        <is>
          <t>TestDocumentReviewReminders</t>
        </is>
      </c>
      <c r="E708" s="3" t="inlineStr">
        <is>
          <t>test_an_overdue_review_is_chased_weekly_not_daily</t>
        </is>
      </c>
      <c r="F708" s="3" t="inlineStr">
        <is>
          <t>whole class</t>
        </is>
      </c>
      <c r="G708" s="2" t="n">
        <v>9</v>
      </c>
      <c r="H708" s="2" t="n">
        <v>9</v>
      </c>
      <c r="I708" s="3" t="inlineStr">
        <is>
          <t>consilium/consilium_core/tests/test_reminders.py</t>
        </is>
      </c>
    </row>
    <row r="709" ht="17" customHeight="1">
      <c r="A709" s="2" t="inlineStr">
        <is>
          <t>P-14</t>
        </is>
      </c>
      <c r="B709" s="3" t="inlineStr">
        <is>
          <t>POL</t>
        </is>
      </c>
      <c r="C709" s="3" t="inlineStr">
        <is>
          <t>consilium_core.tests.test_reminders</t>
        </is>
      </c>
      <c r="D709" s="3" t="inlineStr">
        <is>
          <t>TestDocumentReviewReminders</t>
        </is>
      </c>
      <c r="E709" s="3" t="inlineStr">
        <is>
          <t>test_a_long_overdue_review_is_escalated_to_the_approver</t>
        </is>
      </c>
      <c r="F709" s="3" t="inlineStr">
        <is>
          <t>whole class</t>
        </is>
      </c>
      <c r="G709" s="2" t="n">
        <v>9</v>
      </c>
      <c r="H709" s="2" t="n">
        <v>9</v>
      </c>
      <c r="I709" s="3" t="inlineStr">
        <is>
          <t>consilium/consilium_core/tests/test_reminders.py</t>
        </is>
      </c>
    </row>
    <row r="710" ht="17" customHeight="1">
      <c r="A710" s="2" t="inlineStr">
        <is>
          <t>P-14</t>
        </is>
      </c>
      <c r="B710" s="3" t="inlineStr">
        <is>
          <t>POL</t>
        </is>
      </c>
      <c r="C710" s="3" t="inlineStr">
        <is>
          <t>consilium_core.tests.test_reminders</t>
        </is>
      </c>
      <c r="D710" s="3" t="inlineStr">
        <is>
          <t>TestDocumentReviewReminders</t>
        </is>
      </c>
      <c r="E710" s="3" t="inlineStr">
        <is>
          <t>test_a_document_not_in_force_is_not_chased</t>
        </is>
      </c>
      <c r="F710" s="3" t="inlineStr">
        <is>
          <t>whole class</t>
        </is>
      </c>
      <c r="G710" s="2" t="n">
        <v>9</v>
      </c>
      <c r="H710" s="2" t="n">
        <v>9</v>
      </c>
      <c r="I710" s="3" t="inlineStr">
        <is>
          <t>consilium/consilium_core/tests/test_reminders.py</t>
        </is>
      </c>
    </row>
    <row r="711" ht="30" customHeight="1">
      <c r="A711" s="2" t="inlineStr">
        <is>
          <t>P-14</t>
        </is>
      </c>
      <c r="B711" s="3" t="inlineStr">
        <is>
          <t>POL</t>
        </is>
      </c>
      <c r="C711" s="3" t="inlineStr">
        <is>
          <t>consilium_core.tests.test_reminders</t>
        </is>
      </c>
      <c r="D711" s="3" t="inlineStr">
        <is>
          <t>TestDocumentReviewReminders</t>
        </is>
      </c>
      <c r="E711" s="3" t="inlineStr">
        <is>
          <t>test_an_open_review_cycle_takes_over_from_the_document_reminder</t>
        </is>
      </c>
      <c r="F711" s="3" t="inlineStr">
        <is>
          <t>whole class</t>
        </is>
      </c>
      <c r="G711" s="2" t="n">
        <v>9</v>
      </c>
      <c r="H711" s="2" t="n">
        <v>9</v>
      </c>
      <c r="I711" s="3" t="inlineStr">
        <is>
          <t>consilium/consilium_core/tests/test_reminders.py</t>
        </is>
      </c>
    </row>
    <row r="712" ht="17" customHeight="1">
      <c r="A712" s="2" t="inlineStr">
        <is>
          <t>P-14</t>
        </is>
      </c>
      <c r="B712" s="3" t="inlineStr">
        <is>
          <t>POL</t>
        </is>
      </c>
      <c r="C712" s="3" t="inlineStr">
        <is>
          <t>consilium_core.tests.test_reminders</t>
        </is>
      </c>
      <c r="D712" s="3" t="inlineStr">
        <is>
          <t>TestDocumentReviewReminders</t>
        </is>
      </c>
      <c r="E712" s="3" t="inlineStr">
        <is>
          <t>test_one_record_failing_does_not_stop_the_others</t>
        </is>
      </c>
      <c r="F712" s="3" t="inlineStr">
        <is>
          <t>whole class</t>
        </is>
      </c>
      <c r="G712" s="2" t="n">
        <v>9</v>
      </c>
      <c r="H712" s="2" t="n">
        <v>9</v>
      </c>
      <c r="I712" s="3" t="inlineStr">
        <is>
          <t>consilium/consilium_core/tests/test_reminders.py</t>
        </is>
      </c>
    </row>
    <row r="713" ht="17" customHeight="1">
      <c r="A713" s="2" t="inlineStr">
        <is>
          <t>P-14</t>
        </is>
      </c>
      <c r="B713" s="3" t="inlineStr">
        <is>
          <t>POL</t>
        </is>
      </c>
      <c r="C713" s="3" t="inlineStr">
        <is>
          <t>consilium_core.tests.test_reminders</t>
        </is>
      </c>
      <c r="D713" s="3" t="inlineStr">
        <is>
          <t>TestDocumentReviewReminders</t>
        </is>
      </c>
      <c r="E713" s="3" t="inlineStr">
        <is>
          <t>test_a_broken_template_still_reminds</t>
        </is>
      </c>
      <c r="F713" s="3" t="inlineStr">
        <is>
          <t>whole class</t>
        </is>
      </c>
      <c r="G713" s="2" t="n">
        <v>9</v>
      </c>
      <c r="H713" s="2" t="n">
        <v>9</v>
      </c>
      <c r="I713" s="3" t="inlineStr">
        <is>
          <t>consilium/consilium_core/tests/test_reminders.py</t>
        </is>
      </c>
    </row>
    <row r="714" ht="17" customHeight="1">
      <c r="A714" s="2" t="inlineStr">
        <is>
          <t>P-14</t>
        </is>
      </c>
      <c r="B714" s="3" t="inlineStr">
        <is>
          <t>POL</t>
        </is>
      </c>
      <c r="C714" s="3" t="inlineStr">
        <is>
          <t>policy.tests.test_portal_actions</t>
        </is>
      </c>
      <c r="D714" s="3" t="inlineStr">
        <is>
          <t>TestApprovalChain</t>
        </is>
      </c>
      <c r="E714" s="3" t="inlineStr">
        <is>
          <t>test_raising_the_steps_assigns_and_tells_each_approver</t>
        </is>
      </c>
      <c r="F714" s="3" t="inlineStr">
        <is>
          <t>whole class</t>
        </is>
      </c>
      <c r="G714" s="2" t="n">
        <v>15</v>
      </c>
      <c r="H714" s="2" t="n">
        <v>15</v>
      </c>
      <c r="I714" s="3" t="inlineStr">
        <is>
          <t>consilium/policy/tests/test_portal_actions.py</t>
        </is>
      </c>
    </row>
    <row r="715" ht="17" customHeight="1">
      <c r="A715" s="2" t="inlineStr">
        <is>
          <t>P-14</t>
        </is>
      </c>
      <c r="B715" s="3" t="inlineStr">
        <is>
          <t>POL</t>
        </is>
      </c>
      <c r="C715" s="3" t="inlineStr">
        <is>
          <t>policy.tests.test_portal_actions</t>
        </is>
      </c>
      <c r="D715" s="3" t="inlineStr">
        <is>
          <t>TestApprovalChain</t>
        </is>
      </c>
      <c r="E715" s="3" t="inlineStr">
        <is>
          <t>test_raising_twice_is_refused</t>
        </is>
      </c>
      <c r="F715" s="3" t="inlineStr">
        <is>
          <t>whole class</t>
        </is>
      </c>
      <c r="G715" s="2" t="n">
        <v>15</v>
      </c>
      <c r="H715" s="2" t="n">
        <v>15</v>
      </c>
      <c r="I715" s="3" t="inlineStr">
        <is>
          <t>consilium/policy/tests/test_portal_actions.py</t>
        </is>
      </c>
    </row>
    <row r="716" ht="17" customHeight="1">
      <c r="A716" s="2" t="inlineStr">
        <is>
          <t>P-14</t>
        </is>
      </c>
      <c r="B716" s="3" t="inlineStr">
        <is>
          <t>POL</t>
        </is>
      </c>
      <c r="C716" s="3" t="inlineStr">
        <is>
          <t>policy.tests.test_portal_actions</t>
        </is>
      </c>
      <c r="D716" s="3" t="inlineStr">
        <is>
          <t>TestApprovalChain</t>
        </is>
      </c>
      <c r="E716" s="3" t="inlineStr">
        <is>
          <t>test_steps_are_not_raised_while_drafting</t>
        </is>
      </c>
      <c r="F716" s="3" t="inlineStr">
        <is>
          <t>whole class</t>
        </is>
      </c>
      <c r="G716" s="2" t="n">
        <v>15</v>
      </c>
      <c r="H716" s="2" t="n">
        <v>15</v>
      </c>
      <c r="I716" s="3" t="inlineStr">
        <is>
          <t>consilium/policy/tests/test_portal_actions.py</t>
        </is>
      </c>
    </row>
    <row r="717" ht="17" customHeight="1">
      <c r="A717" s="2" t="inlineStr">
        <is>
          <t>P-14</t>
        </is>
      </c>
      <c r="B717" s="3" t="inlineStr">
        <is>
          <t>POL</t>
        </is>
      </c>
      <c r="C717" s="3" t="inlineStr">
        <is>
          <t>policy.tests.test_portal_actions</t>
        </is>
      </c>
      <c r="D717" s="3" t="inlineStr">
        <is>
          <t>TestApprovalChain</t>
        </is>
      </c>
      <c r="E717" s="3" t="inlineStr">
        <is>
          <t>test_steps_are_not_raised_without_a_version</t>
        </is>
      </c>
      <c r="F717" s="3" t="inlineStr">
        <is>
          <t>whole class</t>
        </is>
      </c>
      <c r="G717" s="2" t="n">
        <v>15</v>
      </c>
      <c r="H717" s="2" t="n">
        <v>15</v>
      </c>
      <c r="I717" s="3" t="inlineStr">
        <is>
          <t>consilium/policy/tests/test_portal_actions.py</t>
        </is>
      </c>
    </row>
    <row r="718" ht="17" customHeight="1">
      <c r="A718" s="2" t="inlineStr">
        <is>
          <t>P-14</t>
        </is>
      </c>
      <c r="B718" s="3" t="inlineStr">
        <is>
          <t>POL</t>
        </is>
      </c>
      <c r="C718" s="3" t="inlineStr">
        <is>
          <t>policy.tests.test_portal_actions</t>
        </is>
      </c>
      <c r="D718" s="3" t="inlineStr">
        <is>
          <t>TestApprovalChain</t>
        </is>
      </c>
      <c r="E718" s="3" t="inlineStr">
        <is>
          <t>test_a_reviewer_cannot_raise_the_steps</t>
        </is>
      </c>
      <c r="F718" s="3" t="inlineStr">
        <is>
          <t>whole class</t>
        </is>
      </c>
      <c r="G718" s="2" t="n">
        <v>15</v>
      </c>
      <c r="H718" s="2" t="n">
        <v>15</v>
      </c>
      <c r="I718" s="3" t="inlineStr">
        <is>
          <t>consilium/policy/tests/test_portal_actions.py</t>
        </is>
      </c>
    </row>
    <row r="719" ht="17" customHeight="1">
      <c r="A719" s="2" t="inlineStr">
        <is>
          <t>P-14</t>
        </is>
      </c>
      <c r="B719" s="3" t="inlineStr">
        <is>
          <t>POL</t>
        </is>
      </c>
      <c r="C719" s="3" t="inlineStr">
        <is>
          <t>policy.tests.test_portal_actions</t>
        </is>
      </c>
      <c r="D719" s="3" t="inlineStr">
        <is>
          <t>TestApprovalChain</t>
        </is>
      </c>
      <c r="E719" s="3" t="inlineStr">
        <is>
          <t>test_the_assignee_decides_and_the_chain_completes</t>
        </is>
      </c>
      <c r="F719" s="3" t="inlineStr">
        <is>
          <t>whole class</t>
        </is>
      </c>
      <c r="G719" s="2" t="n">
        <v>15</v>
      </c>
      <c r="H719" s="2" t="n">
        <v>15</v>
      </c>
      <c r="I719" s="3" t="inlineStr">
        <is>
          <t>consilium/policy/tests/test_portal_actions.py</t>
        </is>
      </c>
    </row>
    <row r="720" ht="17" customHeight="1">
      <c r="A720" s="2" t="inlineStr">
        <is>
          <t>P-14</t>
        </is>
      </c>
      <c r="B720" s="3" t="inlineStr">
        <is>
          <t>POL</t>
        </is>
      </c>
      <c r="C720" s="3" t="inlineStr">
        <is>
          <t>policy.tests.test_portal_actions</t>
        </is>
      </c>
      <c r="D720" s="3" t="inlineStr">
        <is>
          <t>TestApprovalChain</t>
        </is>
      </c>
      <c r="E720" s="3" t="inlineStr">
        <is>
          <t>test_a_stranger_cannot_decide_a_step</t>
        </is>
      </c>
      <c r="F720" s="3" t="inlineStr">
        <is>
          <t>whole class</t>
        </is>
      </c>
      <c r="G720" s="2" t="n">
        <v>15</v>
      </c>
      <c r="H720" s="2" t="n">
        <v>15</v>
      </c>
      <c r="I720" s="3" t="inlineStr">
        <is>
          <t>consilium/policy/tests/test_portal_actions.py</t>
        </is>
      </c>
    </row>
    <row r="721" ht="17" customHeight="1">
      <c r="A721" s="2" t="inlineStr">
        <is>
          <t>P-14</t>
        </is>
      </c>
      <c r="B721" s="3" t="inlineStr">
        <is>
          <t>POL</t>
        </is>
      </c>
      <c r="C721" s="3" t="inlineStr">
        <is>
          <t>policy.tests.test_portal_actions</t>
        </is>
      </c>
      <c r="D721" s="3" t="inlineStr">
        <is>
          <t>TestApprovalChain</t>
        </is>
      </c>
      <c r="E721" s="3" t="inlineStr">
        <is>
          <t>test_a_live_delegate_decides_in_the_approvers_place</t>
        </is>
      </c>
      <c r="F721" s="3" t="inlineStr">
        <is>
          <t>whole class</t>
        </is>
      </c>
      <c r="G721" s="2" t="n">
        <v>15</v>
      </c>
      <c r="H721" s="2" t="n">
        <v>15</v>
      </c>
      <c r="I721" s="3" t="inlineStr">
        <is>
          <t>consilium/policy/tests/test_portal_actions.py</t>
        </is>
      </c>
    </row>
    <row r="722" ht="17" customHeight="1">
      <c r="A722" s="2" t="inlineStr">
        <is>
          <t>P-14</t>
        </is>
      </c>
      <c r="B722" s="3" t="inlineStr">
        <is>
          <t>POL</t>
        </is>
      </c>
      <c r="C722" s="3" t="inlineStr">
        <is>
          <t>policy.tests.test_portal_actions</t>
        </is>
      </c>
      <c r="D722" s="3" t="inlineStr">
        <is>
          <t>TestApprovalChain</t>
        </is>
      </c>
      <c r="E722" s="3" t="inlineStr">
        <is>
          <t>test_an_objection_carries_its_reason</t>
        </is>
      </c>
      <c r="F722" s="3" t="inlineStr">
        <is>
          <t>whole class</t>
        </is>
      </c>
      <c r="G722" s="2" t="n">
        <v>15</v>
      </c>
      <c r="H722" s="2" t="n">
        <v>15</v>
      </c>
      <c r="I722" s="3" t="inlineStr">
        <is>
          <t>consilium/policy/tests/test_portal_actions.py</t>
        </is>
      </c>
    </row>
    <row r="723" ht="17" customHeight="1">
      <c r="A723" s="2" t="inlineStr">
        <is>
          <t>P-14</t>
        </is>
      </c>
      <c r="B723" s="3" t="inlineStr">
        <is>
          <t>POL</t>
        </is>
      </c>
      <c r="C723" s="3" t="inlineStr">
        <is>
          <t>policy.tests.test_portal_actions</t>
        </is>
      </c>
      <c r="D723" s="3" t="inlineStr">
        <is>
          <t>TestApprovalChain</t>
        </is>
      </c>
      <c r="E723" s="3" t="inlineStr">
        <is>
          <t>test_the_queue_lists_only_the_callers_steps</t>
        </is>
      </c>
      <c r="F723" s="3" t="inlineStr">
        <is>
          <t>whole class</t>
        </is>
      </c>
      <c r="G723" s="2" t="n">
        <v>15</v>
      </c>
      <c r="H723" s="2" t="n">
        <v>15</v>
      </c>
      <c r="I723" s="3" t="inlineStr">
        <is>
          <t>consilium/policy/tests/test_portal_actions.py</t>
        </is>
      </c>
    </row>
    <row r="724" ht="17" customHeight="1">
      <c r="A724" s="2" t="inlineStr">
        <is>
          <t>P-14</t>
        </is>
      </c>
      <c r="B724" s="3" t="inlineStr">
        <is>
          <t>POL</t>
        </is>
      </c>
      <c r="C724" s="3" t="inlineStr">
        <is>
          <t>policy.tests.test_portal_actions</t>
        </is>
      </c>
      <c r="D724" s="3" t="inlineStr">
        <is>
          <t>TestApprovalChain</t>
        </is>
      </c>
      <c r="E724" s="3" t="inlineStr">
        <is>
          <t>test_the_office_bypasses_a_step_with_a_written_exception</t>
        </is>
      </c>
      <c r="F724" s="3" t="inlineStr">
        <is>
          <t>whole class</t>
        </is>
      </c>
      <c r="G724" s="2" t="n">
        <v>15</v>
      </c>
      <c r="H724" s="2" t="n">
        <v>15</v>
      </c>
      <c r="I724" s="3" t="inlineStr">
        <is>
          <t>consilium/policy/tests/test_portal_actions.py</t>
        </is>
      </c>
    </row>
    <row r="725" ht="17" customHeight="1">
      <c r="A725" s="2" t="inlineStr">
        <is>
          <t>P-14</t>
        </is>
      </c>
      <c r="B725" s="3" t="inlineStr">
        <is>
          <t>POL</t>
        </is>
      </c>
      <c r="C725" s="3" t="inlineStr">
        <is>
          <t>policy.tests.test_portal_actions</t>
        </is>
      </c>
      <c r="D725" s="3" t="inlineStr">
        <is>
          <t>TestApprovalChain</t>
        </is>
      </c>
      <c r="E725" s="3" t="inlineStr">
        <is>
          <t>test_a_bypass_without_justification_is_refused</t>
        </is>
      </c>
      <c r="F725" s="3" t="inlineStr">
        <is>
          <t>whole class</t>
        </is>
      </c>
      <c r="G725" s="2" t="n">
        <v>15</v>
      </c>
      <c r="H725" s="2" t="n">
        <v>15</v>
      </c>
      <c r="I725" s="3" t="inlineStr">
        <is>
          <t>consilium/policy/tests/test_portal_actions.py</t>
        </is>
      </c>
    </row>
    <row r="726" ht="17" customHeight="1">
      <c r="A726" s="2" t="inlineStr">
        <is>
          <t>P-14</t>
        </is>
      </c>
      <c r="B726" s="3" t="inlineStr">
        <is>
          <t>POL</t>
        </is>
      </c>
      <c r="C726" s="3" t="inlineStr">
        <is>
          <t>policy.tests.test_portal_actions</t>
        </is>
      </c>
      <c r="D726" s="3" t="inlineStr">
        <is>
          <t>TestApprovalChain</t>
        </is>
      </c>
      <c r="E726" s="3" t="inlineStr">
        <is>
          <t>test_nobody_bypasses_their_own_step</t>
        </is>
      </c>
      <c r="F726" s="3" t="inlineStr">
        <is>
          <t>whole class</t>
        </is>
      </c>
      <c r="G726" s="2" t="n">
        <v>15</v>
      </c>
      <c r="H726" s="2" t="n">
        <v>15</v>
      </c>
      <c r="I726" s="3" t="inlineStr">
        <is>
          <t>consilium/policy/tests/test_portal_actions.py</t>
        </is>
      </c>
    </row>
    <row r="727" ht="17" customHeight="1">
      <c r="A727" s="2" t="inlineStr">
        <is>
          <t>P-14</t>
        </is>
      </c>
      <c r="B727" s="3" t="inlineStr">
        <is>
          <t>POL</t>
        </is>
      </c>
      <c r="C727" s="3" t="inlineStr">
        <is>
          <t>policy.tests.test_portal_actions</t>
        </is>
      </c>
      <c r="D727" s="3" t="inlineStr">
        <is>
          <t>TestApprovalChain</t>
        </is>
      </c>
      <c r="E727" s="3" t="inlineStr">
        <is>
          <t>test_an_owner_cannot_bypass_a_step</t>
        </is>
      </c>
      <c r="F727" s="3" t="inlineStr">
        <is>
          <t>whole class</t>
        </is>
      </c>
      <c r="G727" s="2" t="n">
        <v>15</v>
      </c>
      <c r="H727" s="2" t="n">
        <v>15</v>
      </c>
      <c r="I727" s="3" t="inlineStr">
        <is>
          <t>consilium/policy/tests/test_portal_actions.py</t>
        </is>
      </c>
    </row>
    <row r="728" ht="30" customHeight="1">
      <c r="A728" s="2" t="inlineStr">
        <is>
          <t>P-14</t>
        </is>
      </c>
      <c r="B728" s="3" t="inlineStr">
        <is>
          <t>POL</t>
        </is>
      </c>
      <c r="C728" s="3" t="inlineStr">
        <is>
          <t>policy.tests.test_portal_actions</t>
        </is>
      </c>
      <c r="D728" s="3" t="inlineStr">
        <is>
          <t>TestApprovalChain</t>
        </is>
      </c>
      <c r="E728" s="3" t="inlineStr">
        <is>
          <t>test_an_approver_without_read_access_sees_the_approval_and_nothing_else</t>
        </is>
      </c>
      <c r="F728" s="3" t="inlineStr">
        <is>
          <t>whole class</t>
        </is>
      </c>
      <c r="G728" s="2" t="n">
        <v>15</v>
      </c>
      <c r="H728" s="2" t="n">
        <v>15</v>
      </c>
      <c r="I728" s="3" t="inlineStr">
        <is>
          <t>consilium/policy/tests/test_portal_actions.py</t>
        </is>
      </c>
    </row>
    <row r="729" ht="17" customHeight="1">
      <c r="A729" s="2" t="inlineStr">
        <is>
          <t>P-14</t>
        </is>
      </c>
      <c r="B729" s="3" t="inlineStr">
        <is>
          <t>POL</t>
        </is>
      </c>
      <c r="C729" s="3" t="inlineStr">
        <is>
          <t>consilium_core.tests.test_graph_mail</t>
        </is>
      </c>
      <c r="D729" s="3" t="inlineStr">
        <is>
          <t>TestTheDispatchRecord</t>
        </is>
      </c>
      <c r="E729" s="3" t="inlineStr">
        <is>
          <t>test_a_notification_through_graph_is_recorded_as_sent</t>
        </is>
      </c>
      <c r="F729" s="3" t="inlineStr">
        <is>
          <t>whole class</t>
        </is>
      </c>
      <c r="G729" s="2" t="n">
        <v>7</v>
      </c>
      <c r="H729" s="2" t="n">
        <v>7</v>
      </c>
      <c r="I729" s="3" t="inlineStr">
        <is>
          <t>consilium/consilium_core/tests/test_graph_mail.py</t>
        </is>
      </c>
    </row>
    <row r="730" ht="17" customHeight="1">
      <c r="A730" s="2" t="inlineStr">
        <is>
          <t>P-14</t>
        </is>
      </c>
      <c r="B730" s="3" t="inlineStr">
        <is>
          <t>POL</t>
        </is>
      </c>
      <c r="C730" s="3" t="inlineStr">
        <is>
          <t>consilium_core.tests.test_graph_mail</t>
        </is>
      </c>
      <c r="D730" s="3" t="inlineStr">
        <is>
          <t>TestTheDispatchRecord</t>
        </is>
      </c>
      <c r="E730" s="3" t="inlineStr">
        <is>
          <t>test_a_failure_stays_open_and_the_hourly_retry_sends_it</t>
        </is>
      </c>
      <c r="F730" s="3" t="inlineStr">
        <is>
          <t>whole class</t>
        </is>
      </c>
      <c r="G730" s="2" t="n">
        <v>7</v>
      </c>
      <c r="H730" s="2" t="n">
        <v>7</v>
      </c>
      <c r="I730" s="3" t="inlineStr">
        <is>
          <t>consilium/consilium_core/tests/test_graph_mail.py</t>
        </is>
      </c>
    </row>
    <row r="731" ht="17" customHeight="1">
      <c r="A731" s="2" t="inlineStr">
        <is>
          <t>P-14</t>
        </is>
      </c>
      <c r="B731" s="3" t="inlineStr">
        <is>
          <t>POL</t>
        </is>
      </c>
      <c r="C731" s="3" t="inlineStr">
        <is>
          <t>consilium_core.tests.test_graph_mail</t>
        </is>
      </c>
      <c r="D731" s="3" t="inlineStr">
        <is>
          <t>TestTheDispatchRecord</t>
        </is>
      </c>
      <c r="E731" s="3" t="inlineStr">
        <is>
          <t>test_a_timeout_is_recorded_on_the_dispatch</t>
        </is>
      </c>
      <c r="F731" s="3" t="inlineStr">
        <is>
          <t>whole class</t>
        </is>
      </c>
      <c r="G731" s="2" t="n">
        <v>7</v>
      </c>
      <c r="H731" s="2" t="n">
        <v>7</v>
      </c>
      <c r="I731" s="3" t="inlineStr">
        <is>
          <t>consilium/consilium_core/tests/test_graph_mail.py</t>
        </is>
      </c>
    </row>
    <row r="732" ht="17" customHeight="1">
      <c r="A732" s="2" t="inlineStr">
        <is>
          <t>P-14</t>
        </is>
      </c>
      <c r="B732" s="3" t="inlineStr">
        <is>
          <t>POL</t>
        </is>
      </c>
      <c r="C732" s="3" t="inlineStr">
        <is>
          <t>consilium_core.tests.test_graph_mail</t>
        </is>
      </c>
      <c r="D732" s="3" t="inlineStr">
        <is>
          <t>TestTheDispatchRecord</t>
        </is>
      </c>
      <c r="E732" s="3" t="inlineStr">
        <is>
          <t>test_throttling_then_success_is_one_sent_dispatch</t>
        </is>
      </c>
      <c r="F732" s="3" t="inlineStr">
        <is>
          <t>whole class</t>
        </is>
      </c>
      <c r="G732" s="2" t="n">
        <v>7</v>
      </c>
      <c r="H732" s="2" t="n">
        <v>7</v>
      </c>
      <c r="I732" s="3" t="inlineStr">
        <is>
          <t>consilium/consilium_core/tests/test_graph_mail.py</t>
        </is>
      </c>
    </row>
    <row r="733" ht="17" customHeight="1">
      <c r="A733" s="2" t="inlineStr">
        <is>
          <t>P-14</t>
        </is>
      </c>
      <c r="B733" s="3" t="inlineStr">
        <is>
          <t>POL</t>
        </is>
      </c>
      <c r="C733" s="3" t="inlineStr">
        <is>
          <t>consilium_core.tests.test_graph_mail</t>
        </is>
      </c>
      <c r="D733" s="3" t="inlineStr">
        <is>
          <t>TestTheDispatchRecord</t>
        </is>
      </c>
      <c r="E733" s="3" t="inlineStr">
        <is>
          <t>test_an_incomplete_graph_route_hands_on_to_the_fallback</t>
        </is>
      </c>
      <c r="F733" s="3" t="inlineStr">
        <is>
          <t>whole class</t>
        </is>
      </c>
      <c r="G733" s="2" t="n">
        <v>7</v>
      </c>
      <c r="H733" s="2" t="n">
        <v>7</v>
      </c>
      <c r="I733" s="3" t="inlineStr">
        <is>
          <t>consilium/consilium_core/tests/test_graph_mail.py</t>
        </is>
      </c>
    </row>
    <row r="734" ht="17" customHeight="1">
      <c r="A734" s="2" t="inlineStr">
        <is>
          <t>P-14</t>
        </is>
      </c>
      <c r="B734" s="3" t="inlineStr">
        <is>
          <t>POL</t>
        </is>
      </c>
      <c r="C734" s="3" t="inlineStr">
        <is>
          <t>consilium_core.tests.test_graph_mail</t>
        </is>
      </c>
      <c r="D734" s="3" t="inlineStr">
        <is>
          <t>TestTheDispatchRecord</t>
        </is>
      </c>
      <c r="E734" s="3" t="inlineStr">
        <is>
          <t>test_inside_a_web_request_the_send_goes_to_the_queue</t>
        </is>
      </c>
      <c r="F734" s="3" t="inlineStr">
        <is>
          <t>whole class</t>
        </is>
      </c>
      <c r="G734" s="2" t="n">
        <v>7</v>
      </c>
      <c r="H734" s="2" t="n">
        <v>7</v>
      </c>
      <c r="I734" s="3" t="inlineStr">
        <is>
          <t>consilium/consilium_core/tests/test_graph_mail.py</t>
        </is>
      </c>
    </row>
    <row r="735" ht="17" customHeight="1">
      <c r="A735" s="2" t="inlineStr">
        <is>
          <t>P-14</t>
        </is>
      </c>
      <c r="B735" s="3" t="inlineStr">
        <is>
          <t>POL</t>
        </is>
      </c>
      <c r="C735" s="3" t="inlineStr">
        <is>
          <t>consilium_core.tests.test_graph_mail</t>
        </is>
      </c>
      <c r="D735" s="3" t="inlineStr">
        <is>
          <t>TestTheDispatchRecord</t>
        </is>
      </c>
      <c r="E735" s="3" t="inlineStr">
        <is>
          <t>test_smtp_stays_the_default_route</t>
        </is>
      </c>
      <c r="F735" s="3" t="inlineStr">
        <is>
          <t>whole class</t>
        </is>
      </c>
      <c r="G735" s="2" t="n">
        <v>7</v>
      </c>
      <c r="H735" s="2" t="n">
        <v>7</v>
      </c>
      <c r="I735" s="3" t="inlineStr">
        <is>
          <t>consilium/consilium_core/tests/test_graph_mail.py</t>
        </is>
      </c>
    </row>
    <row r="736" ht="17" customHeight="1">
      <c r="A736" s="2" t="inlineStr">
        <is>
          <t>P-15</t>
        </is>
      </c>
      <c r="B736" s="3" t="inlineStr">
        <is>
          <t>POL</t>
        </is>
      </c>
      <c r="C736" s="3" t="inlineStr">
        <is>
          <t>policy.tests.test_naming_glossary</t>
        </is>
      </c>
      <c r="D736" s="3" t="inlineStr">
        <is>
          <t>TestNamingPattern</t>
        </is>
      </c>
      <c r="E736" s="3" t="inlineStr">
        <is>
          <t>test_placeholders_and_literals</t>
        </is>
      </c>
      <c r="F736" s="3" t="inlineStr">
        <is>
          <t>whole class</t>
        </is>
      </c>
      <c r="G736" s="2" t="n">
        <v>1</v>
      </c>
      <c r="H736" s="2" t="n">
        <v>1</v>
      </c>
      <c r="I736" s="3" t="inlineStr">
        <is>
          <t>consilium/policy/tests/test_naming_glossary.py</t>
        </is>
      </c>
    </row>
    <row r="737" ht="30" customHeight="1">
      <c r="A737" s="2" t="inlineStr">
        <is>
          <t>P-15</t>
        </is>
      </c>
      <c r="B737" s="3" t="inlineStr">
        <is>
          <t>POL</t>
        </is>
      </c>
      <c r="C737" s="3" t="inlineStr">
        <is>
          <t>policy.tests.test_naming_glossary</t>
        </is>
      </c>
      <c r="D737" s="3" t="inlineStr">
        <is>
          <t>TestNamingEnforcement</t>
        </is>
      </c>
      <c r="E737" s="3" t="inlineStr">
        <is>
          <t>test_a_new_document_with_a_nonconforming_name_is_refused_and_logged</t>
        </is>
      </c>
      <c r="F737" s="3" t="inlineStr">
        <is>
          <t>whole class</t>
        </is>
      </c>
      <c r="G737" s="2" t="n">
        <v>7</v>
      </c>
      <c r="H737" s="2" t="n">
        <v>7</v>
      </c>
      <c r="I737" s="3" t="inlineStr">
        <is>
          <t>consilium/policy/tests/test_naming_glossary.py</t>
        </is>
      </c>
    </row>
    <row r="738" ht="17" customHeight="1">
      <c r="A738" s="2" t="inlineStr">
        <is>
          <t>P-15</t>
        </is>
      </c>
      <c r="B738" s="3" t="inlineStr">
        <is>
          <t>POL</t>
        </is>
      </c>
      <c r="C738" s="3" t="inlineStr">
        <is>
          <t>policy.tests.test_naming_glossary</t>
        </is>
      </c>
      <c r="D738" s="3" t="inlineStr">
        <is>
          <t>TestNamingEnforcement</t>
        </is>
      </c>
      <c r="E738" s="3" t="inlineStr">
        <is>
          <t>test_a_conforming_name_is_accepted</t>
        </is>
      </c>
      <c r="F738" s="3" t="inlineStr">
        <is>
          <t>whole class</t>
        </is>
      </c>
      <c r="G738" s="2" t="n">
        <v>7</v>
      </c>
      <c r="H738" s="2" t="n">
        <v>7</v>
      </c>
      <c r="I738" s="3" t="inlineStr">
        <is>
          <t>consilium/policy/tests/test_naming_glossary.py</t>
        </is>
      </c>
    </row>
    <row r="739" ht="17" customHeight="1">
      <c r="A739" s="2" t="inlineStr">
        <is>
          <t>P-15</t>
        </is>
      </c>
      <c r="B739" s="3" t="inlineStr">
        <is>
          <t>POL</t>
        </is>
      </c>
      <c r="C739" s="3" t="inlineStr">
        <is>
          <t>policy.tests.test_naming_glossary</t>
        </is>
      </c>
      <c r="D739" s="3" t="inlineStr">
        <is>
          <t>TestNamingEnforcement</t>
        </is>
      </c>
      <c r="E739" s="3" t="inlineStr">
        <is>
          <t>test_only_an_active_new_template_names_a_document</t>
        </is>
      </c>
      <c r="F739" s="3" t="inlineStr">
        <is>
          <t>whole class</t>
        </is>
      </c>
      <c r="G739" s="2" t="n">
        <v>7</v>
      </c>
      <c r="H739" s="2" t="n">
        <v>7</v>
      </c>
      <c r="I739" s="3" t="inlineStr">
        <is>
          <t>consilium/policy/tests/test_naming_glossary.py</t>
        </is>
      </c>
    </row>
    <row r="740" ht="30" customHeight="1">
      <c r="A740" s="2" t="inlineStr">
        <is>
          <t>P-15</t>
        </is>
      </c>
      <c r="B740" s="3" t="inlineStr">
        <is>
          <t>POL</t>
        </is>
      </c>
      <c r="C740" s="3" t="inlineStr">
        <is>
          <t>policy.tests.test_naming_glossary</t>
        </is>
      </c>
      <c r="D740" s="3" t="inlineStr">
        <is>
          <t>TestNamingEnforcement</t>
        </is>
      </c>
      <c r="E740" s="3" t="inlineStr">
        <is>
          <t>test_a_legacy_name_survives_an_unrelated_edit_but_not_a_rename</t>
        </is>
      </c>
      <c r="F740" s="3" t="inlineStr">
        <is>
          <t>whole class</t>
        </is>
      </c>
      <c r="G740" s="2" t="n">
        <v>7</v>
      </c>
      <c r="H740" s="2" t="n">
        <v>7</v>
      </c>
      <c r="I740" s="3" t="inlineStr">
        <is>
          <t>consilium/policy/tests/test_naming_glossary.py</t>
        </is>
      </c>
    </row>
    <row r="741" ht="30" customHeight="1">
      <c r="A741" s="2" t="inlineStr">
        <is>
          <t>P-15</t>
        </is>
      </c>
      <c r="B741" s="3" t="inlineStr">
        <is>
          <t>POL</t>
        </is>
      </c>
      <c r="C741" s="3" t="inlineStr">
        <is>
          <t>policy.tests.test_naming_glossary</t>
        </is>
      </c>
      <c r="D741" s="3" t="inlineStr">
        <is>
          <t>TestNamingEnforcement</t>
        </is>
      </c>
      <c r="E741" s="3" t="inlineStr">
        <is>
          <t>test_intake_refuses_a_nonconforming_proposed_name_when_classified</t>
        </is>
      </c>
      <c r="F741" s="3" t="inlineStr">
        <is>
          <t>whole class</t>
        </is>
      </c>
      <c r="G741" s="2" t="n">
        <v>7</v>
      </c>
      <c r="H741" s="2" t="n">
        <v>7</v>
      </c>
      <c r="I741" s="3" t="inlineStr">
        <is>
          <t>consilium/policy/tests/test_naming_glossary.py</t>
        </is>
      </c>
    </row>
    <row r="742" ht="17" customHeight="1">
      <c r="A742" s="2" t="inlineStr">
        <is>
          <t>P-15</t>
        </is>
      </c>
      <c r="B742" s="3" t="inlineStr">
        <is>
          <t>POL</t>
        </is>
      </c>
      <c r="C742" s="3" t="inlineStr">
        <is>
          <t>policy.tests.test_naming_glossary</t>
        </is>
      </c>
      <c r="D742" s="3" t="inlineStr">
        <is>
          <t>TestNamingEnforcement</t>
        </is>
      </c>
      <c r="E742" s="3" t="inlineStr">
        <is>
          <t>test_a_conforming_proposed_name_passes_intake</t>
        </is>
      </c>
      <c r="F742" s="3" t="inlineStr">
        <is>
          <t>whole class</t>
        </is>
      </c>
      <c r="G742" s="2" t="n">
        <v>7</v>
      </c>
      <c r="H742" s="2" t="n">
        <v>7</v>
      </c>
      <c r="I742" s="3" t="inlineStr">
        <is>
          <t>consilium/policy/tests/test_naming_glossary.py</t>
        </is>
      </c>
    </row>
    <row r="743" ht="17" customHeight="1">
      <c r="A743" s="2" t="inlineStr">
        <is>
          <t>P-15</t>
        </is>
      </c>
      <c r="B743" s="3" t="inlineStr">
        <is>
          <t>POL</t>
        </is>
      </c>
      <c r="C743" s="3" t="inlineStr">
        <is>
          <t>policy.tests.test_naming_glossary</t>
        </is>
      </c>
      <c r="D743" s="3" t="inlineStr">
        <is>
          <t>TestNamingEnforcement</t>
        </is>
      </c>
      <c r="E743" s="3" t="inlineStr">
        <is>
          <t>test_the_form_check_reports_the_pattern</t>
        </is>
      </c>
      <c r="F743" s="3" t="inlineStr">
        <is>
          <t>whole class</t>
        </is>
      </c>
      <c r="G743" s="2" t="n">
        <v>7</v>
      </c>
      <c r="H743" s="2" t="n">
        <v>7</v>
      </c>
      <c r="I743" s="3" t="inlineStr">
        <is>
          <t>consilium/policy/tests/test_naming_glossary.py</t>
        </is>
      </c>
    </row>
    <row r="744" ht="17" customHeight="1">
      <c r="A744" s="2" t="inlineStr">
        <is>
          <t>P-15</t>
        </is>
      </c>
      <c r="B744" s="3" t="inlineStr">
        <is>
          <t>POL</t>
        </is>
      </c>
      <c r="C744" s="3" t="inlineStr">
        <is>
          <t>policy.tests.test_entities</t>
        </is>
      </c>
      <c r="D744" s="3" t="inlineStr">
        <is>
          <t>TestDocumentTemplate</t>
        </is>
      </c>
      <c r="E744" s="3" t="inlineStr">
        <is>
          <t>test_a_template_carries_its_sections_and_required_fields</t>
        </is>
      </c>
      <c r="F744" s="3" t="inlineStr">
        <is>
          <t>whole class</t>
        </is>
      </c>
      <c r="G744" s="2" t="n">
        <v>4</v>
      </c>
      <c r="H744" s="2" t="n">
        <v>4</v>
      </c>
      <c r="I744" s="3" t="inlineStr">
        <is>
          <t>consilium/policy/tests/test_entities.py</t>
        </is>
      </c>
    </row>
    <row r="745" ht="17" customHeight="1">
      <c r="A745" s="2" t="inlineStr">
        <is>
          <t>P-15</t>
        </is>
      </c>
      <c r="B745" s="3" t="inlineStr">
        <is>
          <t>POL</t>
        </is>
      </c>
      <c r="C745" s="3" t="inlineStr">
        <is>
          <t>policy.tests.test_entities</t>
        </is>
      </c>
      <c r="D745" s="3" t="inlineStr">
        <is>
          <t>TestDocumentTemplate</t>
        </is>
      </c>
      <c r="E745" s="3" t="inlineStr">
        <is>
          <t>test_a_template_can_be_updated</t>
        </is>
      </c>
      <c r="F745" s="3" t="inlineStr">
        <is>
          <t>whole class</t>
        </is>
      </c>
      <c r="G745" s="2" t="n">
        <v>4</v>
      </c>
      <c r="H745" s="2" t="n">
        <v>4</v>
      </c>
      <c r="I745" s="3" t="inlineStr">
        <is>
          <t>consilium/policy/tests/test_entities.py</t>
        </is>
      </c>
    </row>
    <row r="746" ht="17" customHeight="1">
      <c r="A746" s="2" t="inlineStr">
        <is>
          <t>P-15</t>
        </is>
      </c>
      <c r="B746" s="3" t="inlineStr">
        <is>
          <t>POL</t>
        </is>
      </c>
      <c r="C746" s="3" t="inlineStr">
        <is>
          <t>policy.tests.test_entities</t>
        </is>
      </c>
      <c r="D746" s="3" t="inlineStr">
        <is>
          <t>TestDocumentTemplate</t>
        </is>
      </c>
      <c r="E746" s="3" t="inlineStr">
        <is>
          <t>test_a_template_needs_a_document_type</t>
        </is>
      </c>
      <c r="F746" s="3" t="inlineStr">
        <is>
          <t>whole class</t>
        </is>
      </c>
      <c r="G746" s="2" t="n">
        <v>4</v>
      </c>
      <c r="H746" s="2" t="n">
        <v>4</v>
      </c>
      <c r="I746" s="3" t="inlineStr">
        <is>
          <t>consilium/policy/tests/test_entities.py</t>
        </is>
      </c>
    </row>
    <row r="747" ht="17" customHeight="1">
      <c r="A747" s="2" t="inlineStr">
        <is>
          <t>P-15</t>
        </is>
      </c>
      <c r="B747" s="3" t="inlineStr">
        <is>
          <t>POL</t>
        </is>
      </c>
      <c r="C747" s="3" t="inlineStr">
        <is>
          <t>policy.tests.test_entities</t>
        </is>
      </c>
      <c r="D747" s="3" t="inlineStr">
        <is>
          <t>TestDocumentTemplate</t>
        </is>
      </c>
      <c r="E747" s="3" t="inlineStr">
        <is>
          <t>test_a_policy_owner_cannot_change_a_template</t>
        </is>
      </c>
      <c r="F747" s="3" t="inlineStr">
        <is>
          <t>whole class</t>
        </is>
      </c>
      <c r="G747" s="2" t="n">
        <v>4</v>
      </c>
      <c r="H747" s="2" t="n">
        <v>4</v>
      </c>
      <c r="I747" s="3" t="inlineStr">
        <is>
          <t>consilium/policy/tests/test_entities.py</t>
        </is>
      </c>
    </row>
    <row r="748" ht="17" customHeight="1">
      <c r="A748" s="2" t="inlineStr">
        <is>
          <t>P-16</t>
        </is>
      </c>
      <c r="B748" s="3" t="inlineStr">
        <is>
          <t>POL</t>
        </is>
      </c>
      <c r="C748" s="3" t="inlineStr">
        <is>
          <t>policy.tests.test_portal_actions</t>
        </is>
      </c>
      <c r="D748" s="3" t="inlineStr">
        <is>
          <t>TestIntake</t>
        </is>
      </c>
      <c r="E748" s="3" t="inlineStr">
        <is>
          <t>test_an_owner_raises_a_request_and_answers_its_questions</t>
        </is>
      </c>
      <c r="F748" s="3" t="inlineStr">
        <is>
          <t>whole class</t>
        </is>
      </c>
      <c r="G748" s="2" t="n">
        <v>12</v>
      </c>
      <c r="H748" s="2" t="n">
        <v>12</v>
      </c>
      <c r="I748" s="3" t="inlineStr">
        <is>
          <t>consilium/policy/tests/test_portal_actions.py</t>
        </is>
      </c>
    </row>
    <row r="749" ht="17" customHeight="1">
      <c r="A749" s="2" t="inlineStr">
        <is>
          <t>P-16</t>
        </is>
      </c>
      <c r="B749" s="3" t="inlineStr">
        <is>
          <t>POL</t>
        </is>
      </c>
      <c r="C749" s="3" t="inlineStr">
        <is>
          <t>policy.tests.test_portal_actions</t>
        </is>
      </c>
      <c r="D749" s="3" t="inlineStr">
        <is>
          <t>TestIntake</t>
        </is>
      </c>
      <c r="E749" s="3" t="inlineStr">
        <is>
          <t>test_raising_a_request_needs_the_right_to_create_one</t>
        </is>
      </c>
      <c r="F749" s="3" t="inlineStr">
        <is>
          <t>whole class</t>
        </is>
      </c>
      <c r="G749" s="2" t="n">
        <v>12</v>
      </c>
      <c r="H749" s="2" t="n">
        <v>12</v>
      </c>
      <c r="I749" s="3" t="inlineStr">
        <is>
          <t>consilium/policy/tests/test_portal_actions.py</t>
        </is>
      </c>
    </row>
    <row r="750" ht="17" customHeight="1">
      <c r="A750" s="2" t="inlineStr">
        <is>
          <t>P-16</t>
        </is>
      </c>
      <c r="B750" s="3" t="inlineStr">
        <is>
          <t>POL</t>
        </is>
      </c>
      <c r="C750" s="3" t="inlineStr">
        <is>
          <t>policy.tests.test_portal_actions</t>
        </is>
      </c>
      <c r="D750" s="3" t="inlineStr">
        <is>
          <t>TestIntake</t>
        </is>
      </c>
      <c r="E750" s="3" t="inlineStr">
        <is>
          <t>test_a_change_request_names_its_document</t>
        </is>
      </c>
      <c r="F750" s="3" t="inlineStr">
        <is>
          <t>whole class</t>
        </is>
      </c>
      <c r="G750" s="2" t="n">
        <v>12</v>
      </c>
      <c r="H750" s="2" t="n">
        <v>12</v>
      </c>
      <c r="I750" s="3" t="inlineStr">
        <is>
          <t>consilium/policy/tests/test_portal_actions.py</t>
        </is>
      </c>
    </row>
    <row r="751" ht="17" customHeight="1">
      <c r="A751" s="2" t="inlineStr">
        <is>
          <t>P-16</t>
        </is>
      </c>
      <c r="B751" s="3" t="inlineStr">
        <is>
          <t>POL</t>
        </is>
      </c>
      <c r="C751" s="3" t="inlineStr">
        <is>
          <t>policy.tests.test_portal_actions</t>
        </is>
      </c>
      <c r="D751" s="3" t="inlineStr">
        <is>
          <t>TestIntake</t>
        </is>
      </c>
      <c r="E751" s="3" t="inlineStr">
        <is>
          <t>test_only_the_requester_or_the_office_classifies</t>
        </is>
      </c>
      <c r="F751" s="3" t="inlineStr">
        <is>
          <t>whole class</t>
        </is>
      </c>
      <c r="G751" s="2" t="n">
        <v>12</v>
      </c>
      <c r="H751" s="2" t="n">
        <v>12</v>
      </c>
      <c r="I751" s="3" t="inlineStr">
        <is>
          <t>consilium/policy/tests/test_portal_actions.py</t>
        </is>
      </c>
    </row>
    <row r="752" ht="17" customHeight="1">
      <c r="A752" s="2" t="inlineStr">
        <is>
          <t>P-16</t>
        </is>
      </c>
      <c r="B752" s="3" t="inlineStr">
        <is>
          <t>POL</t>
        </is>
      </c>
      <c r="C752" s="3" t="inlineStr">
        <is>
          <t>policy.tests.test_portal_actions</t>
        </is>
      </c>
      <c r="D752" s="3" t="inlineStr">
        <is>
          <t>TestIntake</t>
        </is>
      </c>
      <c r="E752" s="3" t="inlineStr">
        <is>
          <t>test_a_classified_request_is_not_classified_again</t>
        </is>
      </c>
      <c r="F752" s="3" t="inlineStr">
        <is>
          <t>whole class</t>
        </is>
      </c>
      <c r="G752" s="2" t="n">
        <v>12</v>
      </c>
      <c r="H752" s="2" t="n">
        <v>12</v>
      </c>
      <c r="I752" s="3" t="inlineStr">
        <is>
          <t>consilium/policy/tests/test_portal_actions.py</t>
        </is>
      </c>
    </row>
    <row r="753" ht="17" customHeight="1">
      <c r="A753" s="2" t="inlineStr">
        <is>
          <t>P-16</t>
        </is>
      </c>
      <c r="B753" s="3" t="inlineStr">
        <is>
          <t>POL</t>
        </is>
      </c>
      <c r="C753" s="3" t="inlineStr">
        <is>
          <t>policy.tests.test_portal_actions</t>
        </is>
      </c>
      <c r="D753" s="3" t="inlineStr">
        <is>
          <t>TestIntake</t>
        </is>
      </c>
      <c r="E753" s="3" t="inlineStr">
        <is>
          <t>test_an_answer_outside_the_rule_set_is_refused</t>
        </is>
      </c>
      <c r="F753" s="3" t="inlineStr">
        <is>
          <t>whole class</t>
        </is>
      </c>
      <c r="G753" s="2" t="n">
        <v>12</v>
      </c>
      <c r="H753" s="2" t="n">
        <v>12</v>
      </c>
      <c r="I753" s="3" t="inlineStr">
        <is>
          <t>consilium/policy/tests/test_portal_actions.py</t>
        </is>
      </c>
    </row>
    <row r="754" ht="17" customHeight="1">
      <c r="A754" s="2" t="inlineStr">
        <is>
          <t>P-16</t>
        </is>
      </c>
      <c r="B754" s="3" t="inlineStr">
        <is>
          <t>POL</t>
        </is>
      </c>
      <c r="C754" s="3" t="inlineStr">
        <is>
          <t>policy.tests.test_portal_actions</t>
        </is>
      </c>
      <c r="D754" s="3" t="inlineStr">
        <is>
          <t>TestIntake</t>
        </is>
      </c>
      <c r="E754" s="3" t="inlineStr">
        <is>
          <t>test_the_requester_challenges_once</t>
        </is>
      </c>
      <c r="F754" s="3" t="inlineStr">
        <is>
          <t>whole class</t>
        </is>
      </c>
      <c r="G754" s="2" t="n">
        <v>12</v>
      </c>
      <c r="H754" s="2" t="n">
        <v>12</v>
      </c>
      <c r="I754" s="3" t="inlineStr">
        <is>
          <t>consilium/policy/tests/test_portal_actions.py</t>
        </is>
      </c>
    </row>
    <row r="755" ht="17" customHeight="1">
      <c r="A755" s="2" t="inlineStr">
        <is>
          <t>P-16</t>
        </is>
      </c>
      <c r="B755" s="3" t="inlineStr">
        <is>
          <t>POL</t>
        </is>
      </c>
      <c r="C755" s="3" t="inlineStr">
        <is>
          <t>policy.tests.test_portal_actions</t>
        </is>
      </c>
      <c r="D755" s="3" t="inlineStr">
        <is>
          <t>TestIntake</t>
        </is>
      </c>
      <c r="E755" s="3" t="inlineStr">
        <is>
          <t>test_only_the_office_overrides</t>
        </is>
      </c>
      <c r="F755" s="3" t="inlineStr">
        <is>
          <t>whole class</t>
        </is>
      </c>
      <c r="G755" s="2" t="n">
        <v>12</v>
      </c>
      <c r="H755" s="2" t="n">
        <v>12</v>
      </c>
      <c r="I755" s="3" t="inlineStr">
        <is>
          <t>consilium/policy/tests/test_portal_actions.py</t>
        </is>
      </c>
    </row>
    <row r="756" ht="17" customHeight="1">
      <c r="A756" s="2" t="inlineStr">
        <is>
          <t>P-16</t>
        </is>
      </c>
      <c r="B756" s="3" t="inlineStr">
        <is>
          <t>POL</t>
        </is>
      </c>
      <c r="C756" s="3" t="inlineStr">
        <is>
          <t>policy.tests.test_portal_actions</t>
        </is>
      </c>
      <c r="D756" s="3" t="inlineStr">
        <is>
          <t>TestIntake</t>
        </is>
      </c>
      <c r="E756" s="3" t="inlineStr">
        <is>
          <t>test_the_office_creates_the_document</t>
        </is>
      </c>
      <c r="F756" s="3" t="inlineStr">
        <is>
          <t>whole class</t>
        </is>
      </c>
      <c r="G756" s="2" t="n">
        <v>12</v>
      </c>
      <c r="H756" s="2" t="n">
        <v>12</v>
      </c>
      <c r="I756" s="3" t="inlineStr">
        <is>
          <t>consilium/policy/tests/test_portal_actions.py</t>
        </is>
      </c>
    </row>
    <row r="757" ht="17" customHeight="1">
      <c r="A757" s="2" t="inlineStr">
        <is>
          <t>P-16</t>
        </is>
      </c>
      <c r="B757" s="3" t="inlineStr">
        <is>
          <t>POL</t>
        </is>
      </c>
      <c r="C757" s="3" t="inlineStr">
        <is>
          <t>policy.tests.test_portal_actions</t>
        </is>
      </c>
      <c r="D757" s="3" t="inlineStr">
        <is>
          <t>TestIntake</t>
        </is>
      </c>
      <c r="E757" s="3" t="inlineStr">
        <is>
          <t>test_the_requester_cannot_create_the_document</t>
        </is>
      </c>
      <c r="F757" s="3" t="inlineStr">
        <is>
          <t>whole class</t>
        </is>
      </c>
      <c r="G757" s="2" t="n">
        <v>12</v>
      </c>
      <c r="H757" s="2" t="n">
        <v>12</v>
      </c>
      <c r="I757" s="3" t="inlineStr">
        <is>
          <t>consilium/policy/tests/test_portal_actions.py</t>
        </is>
      </c>
    </row>
    <row r="758" ht="17" customHeight="1">
      <c r="A758" s="2" t="inlineStr">
        <is>
          <t>P-16</t>
        </is>
      </c>
      <c r="B758" s="3" t="inlineStr">
        <is>
          <t>POL</t>
        </is>
      </c>
      <c r="C758" s="3" t="inlineStr">
        <is>
          <t>policy.tests.test_portal_actions</t>
        </is>
      </c>
      <c r="D758" s="3" t="inlineStr">
        <is>
          <t>TestIntake</t>
        </is>
      </c>
      <c r="E758" s="3" t="inlineStr">
        <is>
          <t>test_no_document_is_created_before_classification</t>
        </is>
      </c>
      <c r="F758" s="3" t="inlineStr">
        <is>
          <t>whole class</t>
        </is>
      </c>
      <c r="G758" s="2" t="n">
        <v>12</v>
      </c>
      <c r="H758" s="2" t="n">
        <v>12</v>
      </c>
      <c r="I758" s="3" t="inlineStr">
        <is>
          <t>consilium/policy/tests/test_portal_actions.py</t>
        </is>
      </c>
    </row>
    <row r="759" ht="17" customHeight="1">
      <c r="A759" s="2" t="inlineStr">
        <is>
          <t>P-16</t>
        </is>
      </c>
      <c r="B759" s="3" t="inlineStr">
        <is>
          <t>POL</t>
        </is>
      </c>
      <c r="C759" s="3" t="inlineStr">
        <is>
          <t>policy.tests.test_portal_actions</t>
        </is>
      </c>
      <c r="D759" s="3" t="inlineStr">
        <is>
          <t>TestIntake</t>
        </is>
      </c>
      <c r="E759" s="3" t="inlineStr">
        <is>
          <t>test_a_withdrawal_carries_its_reason</t>
        </is>
      </c>
      <c r="F759" s="3" t="inlineStr">
        <is>
          <t>whole class</t>
        </is>
      </c>
      <c r="G759" s="2" t="n">
        <v>12</v>
      </c>
      <c r="H759" s="2" t="n">
        <v>12</v>
      </c>
      <c r="I759" s="3" t="inlineStr">
        <is>
          <t>consilium/policy/tests/test_portal_actions.py</t>
        </is>
      </c>
    </row>
    <row r="760" ht="17" customHeight="1">
      <c r="A760" s="2" t="inlineStr">
        <is>
          <t>P-16</t>
        </is>
      </c>
      <c r="B760" s="3" t="inlineStr">
        <is>
          <t>POL</t>
        </is>
      </c>
      <c r="C760" s="3" t="inlineStr">
        <is>
          <t>policy.tests.test_portal_actions</t>
        </is>
      </c>
      <c r="D760" s="3" t="inlineStr">
        <is>
          <t>TestPages</t>
        </is>
      </c>
      <c r="E760" s="3" t="inlineStr">
        <is>
          <t>test_the_intake_page_renders</t>
        </is>
      </c>
      <c r="F760" s="3" t="inlineStr">
        <is>
          <t>named method</t>
        </is>
      </c>
      <c r="G760" s="2" t="n"/>
      <c r="H760" s="2" t="n">
        <v>1</v>
      </c>
      <c r="I760" s="3" t="inlineStr">
        <is>
          <t>consilium/policy/tests/test_portal_actions.py</t>
        </is>
      </c>
    </row>
    <row r="761" ht="17" customHeight="1">
      <c r="A761" s="2" t="inlineStr">
        <is>
          <t>P-16</t>
        </is>
      </c>
      <c r="B761" s="3" t="inlineStr">
        <is>
          <t>POL</t>
        </is>
      </c>
      <c r="C761" s="3" t="inlineStr">
        <is>
          <t>policy.tests.test_intake</t>
        </is>
      </c>
      <c r="D761" s="3" t="inlineStr">
        <is>
          <t>TestClassification</t>
        </is>
      </c>
      <c r="E761" s="3" t="inlineStr">
        <is>
          <t>test_the_questions_and_options_are_data</t>
        </is>
      </c>
      <c r="F761" s="3" t="inlineStr">
        <is>
          <t>whole class</t>
        </is>
      </c>
      <c r="G761" s="2" t="n">
        <v>10</v>
      </c>
      <c r="H761" s="2" t="n">
        <v>10</v>
      </c>
      <c r="I761" s="3" t="inlineStr">
        <is>
          <t>consilium/policy/tests/test_intake.py</t>
        </is>
      </c>
    </row>
    <row r="762" ht="30" customHeight="1">
      <c r="A762" s="2" t="inlineStr">
        <is>
          <t>P-16</t>
        </is>
      </c>
      <c r="B762" s="3" t="inlineStr">
        <is>
          <t>POL</t>
        </is>
      </c>
      <c r="C762" s="3" t="inlineStr">
        <is>
          <t>policy.tests.test_intake</t>
        </is>
      </c>
      <c r="D762" s="3" t="inlineStr">
        <is>
          <t>TestClassification</t>
        </is>
      </c>
      <c r="E762" s="3" t="inlineStr">
        <is>
          <t>test_an_administrator_can_add_a_question_without_a_code_change</t>
        </is>
      </c>
      <c r="F762" s="3" t="inlineStr">
        <is>
          <t>whole class</t>
        </is>
      </c>
      <c r="G762" s="2" t="n">
        <v>10</v>
      </c>
      <c r="H762" s="2" t="n">
        <v>10</v>
      </c>
      <c r="I762" s="3" t="inlineStr">
        <is>
          <t>consilium/policy/tests/test_intake.py</t>
        </is>
      </c>
    </row>
    <row r="763" ht="17" customHeight="1">
      <c r="A763" s="2" t="inlineStr">
        <is>
          <t>P-16</t>
        </is>
      </c>
      <c r="B763" s="3" t="inlineStr">
        <is>
          <t>POL</t>
        </is>
      </c>
      <c r="C763" s="3" t="inlineStr">
        <is>
          <t>policy.tests.test_intake</t>
        </is>
      </c>
      <c r="D763" s="3" t="inlineStr">
        <is>
          <t>TestClassification</t>
        </is>
      </c>
      <c r="E763" s="3" t="inlineStr">
        <is>
          <t>test_an_answer_outside_the_option_set_is_refused</t>
        </is>
      </c>
      <c r="F763" s="3" t="inlineStr">
        <is>
          <t>whole class</t>
        </is>
      </c>
      <c r="G763" s="2" t="n">
        <v>10</v>
      </c>
      <c r="H763" s="2" t="n">
        <v>10</v>
      </c>
      <c r="I763" s="3" t="inlineStr">
        <is>
          <t>consilium/policy/tests/test_intake.py</t>
        </is>
      </c>
    </row>
    <row r="764" ht="17" customHeight="1">
      <c r="A764" s="2" t="inlineStr">
        <is>
          <t>P-16</t>
        </is>
      </c>
      <c r="B764" s="3" t="inlineStr">
        <is>
          <t>POL</t>
        </is>
      </c>
      <c r="C764" s="3" t="inlineStr">
        <is>
          <t>policy.tests.test_intake</t>
        </is>
      </c>
      <c r="D764" s="3" t="inlineStr">
        <is>
          <t>TestClassification</t>
        </is>
      </c>
      <c r="E764" s="3" t="inlineStr">
        <is>
          <t>test_a_major_answer_set_yields_the_major_outcome</t>
        </is>
      </c>
      <c r="F764" s="3" t="inlineStr">
        <is>
          <t>whole class</t>
        </is>
      </c>
      <c r="G764" s="2" t="n">
        <v>10</v>
      </c>
      <c r="H764" s="2" t="n">
        <v>10</v>
      </c>
      <c r="I764" s="3" t="inlineStr">
        <is>
          <t>consilium/policy/tests/test_intake.py</t>
        </is>
      </c>
    </row>
    <row r="765" ht="17" customHeight="1">
      <c r="A765" s="2" t="inlineStr">
        <is>
          <t>P-16</t>
        </is>
      </c>
      <c r="B765" s="3" t="inlineStr">
        <is>
          <t>POL</t>
        </is>
      </c>
      <c r="C765" s="3" t="inlineStr">
        <is>
          <t>policy.tests.test_intake</t>
        </is>
      </c>
      <c r="D765" s="3" t="inlineStr">
        <is>
          <t>TestClassification</t>
        </is>
      </c>
      <c r="E765" s="3" t="inlineStr">
        <is>
          <t>test_a_minor_answer_set_yields_the_minor_outcome</t>
        </is>
      </c>
      <c r="F765" s="3" t="inlineStr">
        <is>
          <t>whole class</t>
        </is>
      </c>
      <c r="G765" s="2" t="n">
        <v>10</v>
      </c>
      <c r="H765" s="2" t="n">
        <v>10</v>
      </c>
      <c r="I765" s="3" t="inlineStr">
        <is>
          <t>consilium/policy/tests/test_intake.py</t>
        </is>
      </c>
    </row>
    <row r="766" ht="17" customHeight="1">
      <c r="A766" s="2" t="inlineStr">
        <is>
          <t>P-16</t>
        </is>
      </c>
      <c r="B766" s="3" t="inlineStr">
        <is>
          <t>POL</t>
        </is>
      </c>
      <c r="C766" s="3" t="inlineStr">
        <is>
          <t>policy.tests.test_intake</t>
        </is>
      </c>
      <c r="D766" s="3" t="inlineStr">
        <is>
          <t>TestClassification</t>
        </is>
      </c>
      <c r="E766" s="3" t="inlineStr">
        <is>
          <t>test_the_rule_set_version_is_stored_on_the_assessment</t>
        </is>
      </c>
      <c r="F766" s="3" t="inlineStr">
        <is>
          <t>whole class</t>
        </is>
      </c>
      <c r="G766" s="2" t="n">
        <v>10</v>
      </c>
      <c r="H766" s="2" t="n">
        <v>10</v>
      </c>
      <c r="I766" s="3" t="inlineStr">
        <is>
          <t>consilium/policy/tests/test_intake.py</t>
        </is>
      </c>
    </row>
    <row r="767" ht="17" customHeight="1">
      <c r="A767" s="2" t="inlineStr">
        <is>
          <t>P-16</t>
        </is>
      </c>
      <c r="B767" s="3" t="inlineStr">
        <is>
          <t>POL</t>
        </is>
      </c>
      <c r="C767" s="3" t="inlineStr">
        <is>
          <t>policy.tests.test_intake</t>
        </is>
      </c>
      <c r="D767" s="3" t="inlineStr">
        <is>
          <t>TestClassification</t>
        </is>
      </c>
      <c r="E767" s="3" t="inlineStr">
        <is>
          <t>test_the_outcome_is_explained_and_can_be_challenged</t>
        </is>
      </c>
      <c r="F767" s="3" t="inlineStr">
        <is>
          <t>whole class</t>
        </is>
      </c>
      <c r="G767" s="2" t="n">
        <v>10</v>
      </c>
      <c r="H767" s="2" t="n">
        <v>10</v>
      </c>
      <c r="I767" s="3" t="inlineStr">
        <is>
          <t>consilium/policy/tests/test_intake.py</t>
        </is>
      </c>
    </row>
    <row r="768" ht="17" customHeight="1">
      <c r="A768" s="2" t="inlineStr">
        <is>
          <t>P-16</t>
        </is>
      </c>
      <c r="B768" s="3" t="inlineStr">
        <is>
          <t>POL</t>
        </is>
      </c>
      <c r="C768" s="3" t="inlineStr">
        <is>
          <t>policy.tests.test_intake</t>
        </is>
      </c>
      <c r="D768" s="3" t="inlineStr">
        <is>
          <t>TestClassification</t>
        </is>
      </c>
      <c r="E768" s="3" t="inlineStr">
        <is>
          <t>test_an_empty_challenge_is_refused</t>
        </is>
      </c>
      <c r="F768" s="3" t="inlineStr">
        <is>
          <t>whole class</t>
        </is>
      </c>
      <c r="G768" s="2" t="n">
        <v>10</v>
      </c>
      <c r="H768" s="2" t="n">
        <v>10</v>
      </c>
      <c r="I768" s="3" t="inlineStr">
        <is>
          <t>consilium/policy/tests/test_intake.py</t>
        </is>
      </c>
    </row>
    <row r="769" ht="17" customHeight="1">
      <c r="A769" s="2" t="inlineStr">
        <is>
          <t>P-16</t>
        </is>
      </c>
      <c r="B769" s="3" t="inlineStr">
        <is>
          <t>POL</t>
        </is>
      </c>
      <c r="C769" s="3" t="inlineStr">
        <is>
          <t>policy.tests.test_intake</t>
        </is>
      </c>
      <c r="D769" s="3" t="inlineStr">
        <is>
          <t>TestClassification</t>
        </is>
      </c>
      <c r="E769" s="3" t="inlineStr">
        <is>
          <t>test_an_override_is_recorded_without_erasing_the_original</t>
        </is>
      </c>
      <c r="F769" s="3" t="inlineStr">
        <is>
          <t>whole class</t>
        </is>
      </c>
      <c r="G769" s="2" t="n">
        <v>10</v>
      </c>
      <c r="H769" s="2" t="n">
        <v>10</v>
      </c>
      <c r="I769" s="3" t="inlineStr">
        <is>
          <t>consilium/policy/tests/test_intake.py</t>
        </is>
      </c>
    </row>
    <row r="770" ht="30" customHeight="1">
      <c r="A770" s="2" t="inlineStr">
        <is>
          <t>P-16</t>
        </is>
      </c>
      <c r="B770" s="3" t="inlineStr">
        <is>
          <t>POL</t>
        </is>
      </c>
      <c r="C770" s="3" t="inlineStr">
        <is>
          <t>policy.tests.test_intake</t>
        </is>
      </c>
      <c r="D770" s="3" t="inlineStr">
        <is>
          <t>TestClassification</t>
        </is>
      </c>
      <c r="E770" s="3" t="inlineStr">
        <is>
          <t>test_a_classification_does_not_change_when_the_rules_are_later_edited</t>
        </is>
      </c>
      <c r="F770" s="3" t="inlineStr">
        <is>
          <t>whole class</t>
        </is>
      </c>
      <c r="G770" s="2" t="n">
        <v>10</v>
      </c>
      <c r="H770" s="2" t="n">
        <v>10</v>
      </c>
      <c r="I770" s="3" t="inlineStr">
        <is>
          <t>consilium/policy/tests/test_intake.py</t>
        </is>
      </c>
    </row>
    <row r="771" ht="30" customHeight="1">
      <c r="A771" s="2" t="inlineStr">
        <is>
          <t>P-16</t>
        </is>
      </c>
      <c r="B771" s="3" t="inlineStr">
        <is>
          <t>POL</t>
        </is>
      </c>
      <c r="C771" s="3" t="inlineStr">
        <is>
          <t>policy.tests.test_intake</t>
        </is>
      </c>
      <c r="D771" s="3" t="inlineStr">
        <is>
          <t>TestIntakeRequest</t>
        </is>
      </c>
      <c r="E771" s="3" t="inlineStr">
        <is>
          <t>test_a_request_captures_the_need_the_date_and_who_to_engage</t>
        </is>
      </c>
      <c r="F771" s="3" t="inlineStr">
        <is>
          <t>whole class</t>
        </is>
      </c>
      <c r="G771" s="2" t="n">
        <v>4</v>
      </c>
      <c r="H771" s="2" t="n">
        <v>4</v>
      </c>
      <c r="I771" s="3" t="inlineStr">
        <is>
          <t>consilium/policy/tests/test_intake.py</t>
        </is>
      </c>
    </row>
    <row r="772" ht="17" customHeight="1">
      <c r="A772" s="2" t="inlineStr">
        <is>
          <t>P-16</t>
        </is>
      </c>
      <c r="B772" s="3" t="inlineStr">
        <is>
          <t>POL</t>
        </is>
      </c>
      <c r="C772" s="3" t="inlineStr">
        <is>
          <t>policy.tests.test_intake</t>
        </is>
      </c>
      <c r="D772" s="3" t="inlineStr">
        <is>
          <t>TestIntakeRequest</t>
        </is>
      </c>
      <c r="E772" s="3" t="inlineStr">
        <is>
          <t>test_a_request_needs_a_justification</t>
        </is>
      </c>
      <c r="F772" s="3" t="inlineStr">
        <is>
          <t>whole class</t>
        </is>
      </c>
      <c r="G772" s="2" t="n">
        <v>4</v>
      </c>
      <c r="H772" s="2" t="n">
        <v>4</v>
      </c>
      <c r="I772" s="3" t="inlineStr">
        <is>
          <t>consilium/policy/tests/test_intake.py</t>
        </is>
      </c>
    </row>
    <row r="773" ht="17" customHeight="1">
      <c r="A773" s="2" t="inlineStr">
        <is>
          <t>P-16</t>
        </is>
      </c>
      <c r="B773" s="3" t="inlineStr">
        <is>
          <t>POL</t>
        </is>
      </c>
      <c r="C773" s="3" t="inlineStr">
        <is>
          <t>policy.tests.test_intake</t>
        </is>
      </c>
      <c r="D773" s="3" t="inlineStr">
        <is>
          <t>TestIntakeRequest</t>
        </is>
      </c>
      <c r="E773" s="3" t="inlineStr">
        <is>
          <t>test_a_reviewer_cannot_delete_a_request</t>
        </is>
      </c>
      <c r="F773" s="3" t="inlineStr">
        <is>
          <t>whole class</t>
        </is>
      </c>
      <c r="G773" s="2" t="n">
        <v>4</v>
      </c>
      <c r="H773" s="2" t="n">
        <v>4</v>
      </c>
      <c r="I773" s="3" t="inlineStr">
        <is>
          <t>consilium/policy/tests/test_intake.py</t>
        </is>
      </c>
    </row>
    <row r="774" ht="17" customHeight="1">
      <c r="A774" s="2" t="inlineStr">
        <is>
          <t>P-16</t>
        </is>
      </c>
      <c r="B774" s="3" t="inlineStr">
        <is>
          <t>POL</t>
        </is>
      </c>
      <c r="C774" s="3" t="inlineStr">
        <is>
          <t>policy.tests.test_intake</t>
        </is>
      </c>
      <c r="D774" s="3" t="inlineStr">
        <is>
          <t>TestIntakeRequest</t>
        </is>
      </c>
      <c r="E774" s="3" t="inlineStr">
        <is>
          <t>test_a_request_creates_the_repository_record</t>
        </is>
      </c>
      <c r="F774" s="3" t="inlineStr">
        <is>
          <t>whole class</t>
        </is>
      </c>
      <c r="G774" s="2" t="n">
        <v>4</v>
      </c>
      <c r="H774" s="2" t="n">
        <v>4</v>
      </c>
      <c r="I774" s="3" t="inlineStr">
        <is>
          <t>consilium/policy/tests/test_intake.py</t>
        </is>
      </c>
    </row>
    <row r="775" ht="30" customHeight="1">
      <c r="A775" s="2" t="inlineStr">
        <is>
          <t>P-16</t>
        </is>
      </c>
      <c r="B775" s="3" t="inlineStr">
        <is>
          <t>POL</t>
        </is>
      </c>
      <c r="C775" s="3" t="inlineStr">
        <is>
          <t>policy.tests.test_intake</t>
        </is>
      </c>
      <c r="D775" s="3" t="inlineStr">
        <is>
          <t>TestClassificationDrivesRoutingAndService</t>
        </is>
      </c>
      <c r="E775" s="3" t="inlineStr">
        <is>
          <t>test_a_major_classification_selects_the_major_route</t>
        </is>
      </c>
      <c r="F775" s="3" t="inlineStr">
        <is>
          <t>whole class</t>
        </is>
      </c>
      <c r="G775" s="2" t="n">
        <v>5</v>
      </c>
      <c r="H775" s="2" t="n">
        <v>5</v>
      </c>
      <c r="I775" s="3" t="inlineStr">
        <is>
          <t>consilium/policy/tests/test_intake.py</t>
        </is>
      </c>
    </row>
    <row r="776" ht="30" customHeight="1">
      <c r="A776" s="2" t="inlineStr">
        <is>
          <t>P-16</t>
        </is>
      </c>
      <c r="B776" s="3" t="inlineStr">
        <is>
          <t>POL</t>
        </is>
      </c>
      <c r="C776" s="3" t="inlineStr">
        <is>
          <t>policy.tests.test_intake</t>
        </is>
      </c>
      <c r="D776" s="3" t="inlineStr">
        <is>
          <t>TestClassificationDrivesRoutingAndService</t>
        </is>
      </c>
      <c r="E776" s="3" t="inlineStr">
        <is>
          <t>test_a_minor_classification_selects_the_minor_route</t>
        </is>
      </c>
      <c r="F776" s="3" t="inlineStr">
        <is>
          <t>whole class</t>
        </is>
      </c>
      <c r="G776" s="2" t="n">
        <v>5</v>
      </c>
      <c r="H776" s="2" t="n">
        <v>5</v>
      </c>
      <c r="I776" s="3" t="inlineStr">
        <is>
          <t>consilium/policy/tests/test_intake.py</t>
        </is>
      </c>
    </row>
    <row r="777" ht="30" customHeight="1">
      <c r="A777" s="2" t="inlineStr">
        <is>
          <t>P-16</t>
        </is>
      </c>
      <c r="B777" s="3" t="inlineStr">
        <is>
          <t>POL</t>
        </is>
      </c>
      <c r="C777" s="3" t="inlineStr">
        <is>
          <t>policy.tests.test_intake</t>
        </is>
      </c>
      <c r="D777" s="3" t="inlineStr">
        <is>
          <t>TestClassificationDrivesRoutingAndService</t>
        </is>
      </c>
      <c r="E777" s="3" t="inlineStr">
        <is>
          <t>test_an_override_reroutes_the_document</t>
        </is>
      </c>
      <c r="F777" s="3" t="inlineStr">
        <is>
          <t>whole class</t>
        </is>
      </c>
      <c r="G777" s="2" t="n">
        <v>5</v>
      </c>
      <c r="H777" s="2" t="n">
        <v>5</v>
      </c>
      <c r="I777" s="3" t="inlineStr">
        <is>
          <t>consilium/policy/tests/test_intake.py</t>
        </is>
      </c>
    </row>
    <row r="778" ht="30" customHeight="1">
      <c r="A778" s="2" t="inlineStr">
        <is>
          <t>P-16</t>
        </is>
      </c>
      <c r="B778" s="3" t="inlineStr">
        <is>
          <t>POL</t>
        </is>
      </c>
      <c r="C778" s="3" t="inlineStr">
        <is>
          <t>policy.tests.test_intake</t>
        </is>
      </c>
      <c r="D778" s="3" t="inlineStr">
        <is>
          <t>TestClassificationDrivesRoutingAndService</t>
        </is>
      </c>
      <c r="E778" s="3" t="inlineStr">
        <is>
          <t>test_classification_starts_the_matching_service_level_clock</t>
        </is>
      </c>
      <c r="F778" s="3" t="inlineStr">
        <is>
          <t>whole class</t>
        </is>
      </c>
      <c r="G778" s="2" t="n">
        <v>5</v>
      </c>
      <c r="H778" s="2" t="n">
        <v>5</v>
      </c>
      <c r="I778" s="3" t="inlineStr">
        <is>
          <t>consilium/policy/tests/test_intake.py</t>
        </is>
      </c>
    </row>
    <row r="779" ht="30" customHeight="1">
      <c r="A779" s="2" t="inlineStr">
        <is>
          <t>P-16</t>
        </is>
      </c>
      <c r="B779" s="3" t="inlineStr">
        <is>
          <t>POL</t>
        </is>
      </c>
      <c r="C779" s="3" t="inlineStr">
        <is>
          <t>policy.tests.test_intake</t>
        </is>
      </c>
      <c r="D779" s="3" t="inlineStr">
        <is>
          <t>TestClassificationDrivesRoutingAndService</t>
        </is>
      </c>
      <c r="E779" s="3" t="inlineStr">
        <is>
          <t>test_a_minor_classification_gets_the_longer_service_level</t>
        </is>
      </c>
      <c r="F779" s="3" t="inlineStr">
        <is>
          <t>whole class</t>
        </is>
      </c>
      <c r="G779" s="2" t="n">
        <v>5</v>
      </c>
      <c r="H779" s="2" t="n">
        <v>5</v>
      </c>
      <c r="I779" s="3" t="inlineStr">
        <is>
          <t>consilium/policy/tests/test_intake.py</t>
        </is>
      </c>
    </row>
    <row r="780" ht="30" customHeight="1">
      <c r="A780" s="2" t="inlineStr">
        <is>
          <t>P-16</t>
        </is>
      </c>
      <c r="B780" s="3" t="inlineStr">
        <is>
          <t>POL</t>
        </is>
      </c>
      <c r="C780" s="3" t="inlineStr">
        <is>
          <t>consilium_core.tests.test_classification</t>
        </is>
      </c>
      <c r="D780" s="3" t="inlineStr">
        <is>
          <t>TestClassification</t>
        </is>
      </c>
      <c r="E780" s="3" t="inlineStr">
        <is>
          <t>test_first_matching_rule_wins_and_is_recorded</t>
        </is>
      </c>
      <c r="F780" s="3" t="inlineStr">
        <is>
          <t>whole class</t>
        </is>
      </c>
      <c r="G780" s="2" t="n">
        <v>16</v>
      </c>
      <c r="H780" s="2" t="n">
        <v>16</v>
      </c>
      <c r="I780" s="3" t="inlineStr">
        <is>
          <t>consilium/consilium_core/tests/test_classification.py</t>
        </is>
      </c>
    </row>
    <row r="781" ht="30" customHeight="1">
      <c r="A781" s="2" t="inlineStr">
        <is>
          <t>P-16</t>
        </is>
      </c>
      <c r="B781" s="3" t="inlineStr">
        <is>
          <t>POL</t>
        </is>
      </c>
      <c r="C781" s="3" t="inlineStr">
        <is>
          <t>consilium_core.tests.test_classification</t>
        </is>
      </c>
      <c r="D781" s="3" t="inlineStr">
        <is>
          <t>TestClassification</t>
        </is>
      </c>
      <c r="E781" s="3" t="inlineStr">
        <is>
          <t>test_a_lower_priority_rule_applies_when_the_first_does_not_match</t>
        </is>
      </c>
      <c r="F781" s="3" t="inlineStr">
        <is>
          <t>whole class</t>
        </is>
      </c>
      <c r="G781" s="2" t="n">
        <v>16</v>
      </c>
      <c r="H781" s="2" t="n">
        <v>16</v>
      </c>
      <c r="I781" s="3" t="inlineStr">
        <is>
          <t>consilium/consilium_core/tests/test_classification.py</t>
        </is>
      </c>
    </row>
    <row r="782" ht="30" customHeight="1">
      <c r="A782" s="2" t="inlineStr">
        <is>
          <t>P-16</t>
        </is>
      </c>
      <c r="B782" s="3" t="inlineStr">
        <is>
          <t>POL</t>
        </is>
      </c>
      <c r="C782" s="3" t="inlineStr">
        <is>
          <t>consilium_core.tests.test_classification</t>
        </is>
      </c>
      <c r="D782" s="3" t="inlineStr">
        <is>
          <t>TestClassification</t>
        </is>
      </c>
      <c r="E782" s="3" t="inlineStr">
        <is>
          <t>test_the_conservative_default_applies_when_nothing_matches</t>
        </is>
      </c>
      <c r="F782" s="3" t="inlineStr">
        <is>
          <t>whole class</t>
        </is>
      </c>
      <c r="G782" s="2" t="n">
        <v>16</v>
      </c>
      <c r="H782" s="2" t="n">
        <v>16</v>
      </c>
      <c r="I782" s="3" t="inlineStr">
        <is>
          <t>consilium/consilium_core/tests/test_classification.py</t>
        </is>
      </c>
    </row>
    <row r="783" ht="30" customHeight="1">
      <c r="A783" s="2" t="inlineStr">
        <is>
          <t>P-16</t>
        </is>
      </c>
      <c r="B783" s="3" t="inlineStr">
        <is>
          <t>POL</t>
        </is>
      </c>
      <c r="C783" s="3" t="inlineStr">
        <is>
          <t>consilium_core.tests.test_classification</t>
        </is>
      </c>
      <c r="D783" s="3" t="inlineStr">
        <is>
          <t>TestClassification</t>
        </is>
      </c>
      <c r="E783" s="3" t="inlineStr">
        <is>
          <t>test_the_trace_records_every_rule_considered</t>
        </is>
      </c>
      <c r="F783" s="3" t="inlineStr">
        <is>
          <t>whole class</t>
        </is>
      </c>
      <c r="G783" s="2" t="n">
        <v>16</v>
      </c>
      <c r="H783" s="2" t="n">
        <v>16</v>
      </c>
      <c r="I783" s="3" t="inlineStr">
        <is>
          <t>consilium/consilium_core/tests/test_classification.py</t>
        </is>
      </c>
    </row>
    <row r="784" ht="30" customHeight="1">
      <c r="A784" s="2" t="inlineStr">
        <is>
          <t>P-16</t>
        </is>
      </c>
      <c r="B784" s="3" t="inlineStr">
        <is>
          <t>POL</t>
        </is>
      </c>
      <c r="C784" s="3" t="inlineStr">
        <is>
          <t>consilium_core.tests.test_classification</t>
        </is>
      </c>
      <c r="D784" s="3" t="inlineStr">
        <is>
          <t>TestClassification</t>
        </is>
      </c>
      <c r="E784" s="3" t="inlineStr">
        <is>
          <t>test_a_missing_required_answer_is_refused</t>
        </is>
      </c>
      <c r="F784" s="3" t="inlineStr">
        <is>
          <t>whole class</t>
        </is>
      </c>
      <c r="G784" s="2" t="n">
        <v>16</v>
      </c>
      <c r="H784" s="2" t="n">
        <v>16</v>
      </c>
      <c r="I784" s="3" t="inlineStr">
        <is>
          <t>consilium/consilium_core/tests/test_classification.py</t>
        </is>
      </c>
    </row>
    <row r="785" ht="30" customHeight="1">
      <c r="A785" s="2" t="inlineStr">
        <is>
          <t>P-16</t>
        </is>
      </c>
      <c r="B785" s="3" t="inlineStr">
        <is>
          <t>POL</t>
        </is>
      </c>
      <c r="C785" s="3" t="inlineStr">
        <is>
          <t>consilium_core.tests.test_classification</t>
        </is>
      </c>
      <c r="D785" s="3" t="inlineStr">
        <is>
          <t>TestClassification</t>
        </is>
      </c>
      <c r="E785" s="3" t="inlineStr">
        <is>
          <t>test_an_answer_outside_the_options_is_refused</t>
        </is>
      </c>
      <c r="F785" s="3" t="inlineStr">
        <is>
          <t>whole class</t>
        </is>
      </c>
      <c r="G785" s="2" t="n">
        <v>16</v>
      </c>
      <c r="H785" s="2" t="n">
        <v>16</v>
      </c>
      <c r="I785" s="3" t="inlineStr">
        <is>
          <t>consilium/consilium_core/tests/test_classification.py</t>
        </is>
      </c>
    </row>
    <row r="786" ht="30" customHeight="1">
      <c r="A786" s="2" t="inlineStr">
        <is>
          <t>P-16</t>
        </is>
      </c>
      <c r="B786" s="3" t="inlineStr">
        <is>
          <t>POL</t>
        </is>
      </c>
      <c r="C786" s="3" t="inlineStr">
        <is>
          <t>consilium_core.tests.test_classification</t>
        </is>
      </c>
      <c r="D786" s="3" t="inlineStr">
        <is>
          <t>TestClassification</t>
        </is>
      </c>
      <c r="E786" s="3" t="inlineStr">
        <is>
          <t>test_an_unknown_question_is_refused</t>
        </is>
      </c>
      <c r="F786" s="3" t="inlineStr">
        <is>
          <t>whole class</t>
        </is>
      </c>
      <c r="G786" s="2" t="n">
        <v>16</v>
      </c>
      <c r="H786" s="2" t="n">
        <v>16</v>
      </c>
      <c r="I786" s="3" t="inlineStr">
        <is>
          <t>consilium/consilium_core/tests/test_classification.py</t>
        </is>
      </c>
    </row>
    <row r="787" ht="30" customHeight="1">
      <c r="A787" s="2" t="inlineStr">
        <is>
          <t>P-16</t>
        </is>
      </c>
      <c r="B787" s="3" t="inlineStr">
        <is>
          <t>POL</t>
        </is>
      </c>
      <c r="C787" s="3" t="inlineStr">
        <is>
          <t>consilium_core.tests.test_classification</t>
        </is>
      </c>
      <c r="D787" s="3" t="inlineStr">
        <is>
          <t>TestClassification</t>
        </is>
      </c>
      <c r="E787" s="3" t="inlineStr">
        <is>
          <t>test_a_rule_set_locks_once_it_has_classified</t>
        </is>
      </c>
      <c r="F787" s="3" t="inlineStr">
        <is>
          <t>whole class</t>
        </is>
      </c>
      <c r="G787" s="2" t="n">
        <v>16</v>
      </c>
      <c r="H787" s="2" t="n">
        <v>16</v>
      </c>
      <c r="I787" s="3" t="inlineStr">
        <is>
          <t>consilium/consilium_core/tests/test_classification.py</t>
        </is>
      </c>
    </row>
    <row r="788" ht="30" customHeight="1">
      <c r="A788" s="2" t="inlineStr">
        <is>
          <t>P-16</t>
        </is>
      </c>
      <c r="B788" s="3" t="inlineStr">
        <is>
          <t>POL</t>
        </is>
      </c>
      <c r="C788" s="3" t="inlineStr">
        <is>
          <t>consilium_core.tests.test_classification</t>
        </is>
      </c>
      <c r="D788" s="3" t="inlineStr">
        <is>
          <t>TestClassification</t>
        </is>
      </c>
      <c r="E788" s="3" t="inlineStr">
        <is>
          <t>test_a_duplicate_of_a_sealed_rule_set_starts_unsealed_and_stays_editable</t>
        </is>
      </c>
      <c r="F788" s="3" t="inlineStr">
        <is>
          <t>whole class</t>
        </is>
      </c>
      <c r="G788" s="2" t="n">
        <v>16</v>
      </c>
      <c r="H788" s="2" t="n">
        <v>16</v>
      </c>
      <c r="I788" s="3" t="inlineStr">
        <is>
          <t>consilium/consilium_core/tests/test_classification.py</t>
        </is>
      </c>
    </row>
    <row r="789" ht="30" customHeight="1">
      <c r="A789" s="2" t="inlineStr">
        <is>
          <t>P-16</t>
        </is>
      </c>
      <c r="B789" s="3" t="inlineStr">
        <is>
          <t>POL</t>
        </is>
      </c>
      <c r="C789" s="3" t="inlineStr">
        <is>
          <t>consilium_core.tests.test_classification</t>
        </is>
      </c>
      <c r="D789" s="3" t="inlineStr">
        <is>
          <t>TestClassification</t>
        </is>
      </c>
      <c r="E789" s="3" t="inlineStr">
        <is>
          <t>test_history_survives_a_new_rule_set_version</t>
        </is>
      </c>
      <c r="F789" s="3" t="inlineStr">
        <is>
          <t>whole class</t>
        </is>
      </c>
      <c r="G789" s="2" t="n">
        <v>16</v>
      </c>
      <c r="H789" s="2" t="n">
        <v>16</v>
      </c>
      <c r="I789" s="3" t="inlineStr">
        <is>
          <t>consilium/consilium_core/tests/test_classification.py</t>
        </is>
      </c>
    </row>
    <row r="790" ht="30" customHeight="1">
      <c r="A790" s="2" t="inlineStr">
        <is>
          <t>P-16</t>
        </is>
      </c>
      <c r="B790" s="3" t="inlineStr">
        <is>
          <t>POL</t>
        </is>
      </c>
      <c r="C790" s="3" t="inlineStr">
        <is>
          <t>consilium_core.tests.test_classification</t>
        </is>
      </c>
      <c r="D790" s="3" t="inlineStr">
        <is>
          <t>TestClassification</t>
        </is>
      </c>
      <c r="E790" s="3" t="inlineStr">
        <is>
          <t>test_an_assessment_cannot_be_edited_or_deleted</t>
        </is>
      </c>
      <c r="F790" s="3" t="inlineStr">
        <is>
          <t>whole class</t>
        </is>
      </c>
      <c r="G790" s="2" t="n">
        <v>16</v>
      </c>
      <c r="H790" s="2" t="n">
        <v>16</v>
      </c>
      <c r="I790" s="3" t="inlineStr">
        <is>
          <t>consilium/consilium_core/tests/test_classification.py</t>
        </is>
      </c>
    </row>
    <row r="791" ht="30" customHeight="1">
      <c r="A791" s="2" t="inlineStr">
        <is>
          <t>P-16</t>
        </is>
      </c>
      <c r="B791" s="3" t="inlineStr">
        <is>
          <t>POL</t>
        </is>
      </c>
      <c r="C791" s="3" t="inlineStr">
        <is>
          <t>consilium_core.tests.test_classification</t>
        </is>
      </c>
      <c r="D791" s="3" t="inlineStr">
        <is>
          <t>TestClassification</t>
        </is>
      </c>
      <c r="E791" s="3" t="inlineStr">
        <is>
          <t>test_an_override_is_recorded_beside_the_original_outcome</t>
        </is>
      </c>
      <c r="F791" s="3" t="inlineStr">
        <is>
          <t>whole class</t>
        </is>
      </c>
      <c r="G791" s="2" t="n">
        <v>16</v>
      </c>
      <c r="H791" s="2" t="n">
        <v>16</v>
      </c>
      <c r="I791" s="3" t="inlineStr">
        <is>
          <t>consilium/consilium_core/tests/test_classification.py</t>
        </is>
      </c>
    </row>
    <row r="792" ht="30" customHeight="1">
      <c r="A792" s="2" t="inlineStr">
        <is>
          <t>P-16</t>
        </is>
      </c>
      <c r="B792" s="3" t="inlineStr">
        <is>
          <t>POL</t>
        </is>
      </c>
      <c r="C792" s="3" t="inlineStr">
        <is>
          <t>consilium_core.tests.test_classification</t>
        </is>
      </c>
      <c r="D792" s="3" t="inlineStr">
        <is>
          <t>TestClassification</t>
        </is>
      </c>
      <c r="E792" s="3" t="inlineStr">
        <is>
          <t>test_an_override_without_a_justification_is_refused</t>
        </is>
      </c>
      <c r="F792" s="3" t="inlineStr">
        <is>
          <t>whole class</t>
        </is>
      </c>
      <c r="G792" s="2" t="n">
        <v>16</v>
      </c>
      <c r="H792" s="2" t="n">
        <v>16</v>
      </c>
      <c r="I792" s="3" t="inlineStr">
        <is>
          <t>consilium/consilium_core/tests/test_classification.py</t>
        </is>
      </c>
    </row>
    <row r="793" ht="30" customHeight="1">
      <c r="A793" s="2" t="inlineStr">
        <is>
          <t>P-16</t>
        </is>
      </c>
      <c r="B793" s="3" t="inlineStr">
        <is>
          <t>POL</t>
        </is>
      </c>
      <c r="C793" s="3" t="inlineStr">
        <is>
          <t>consilium_core.tests.test_classification</t>
        </is>
      </c>
      <c r="D793" s="3" t="inlineStr">
        <is>
          <t>TestClassification</t>
        </is>
      </c>
      <c r="E793" s="3" t="inlineStr">
        <is>
          <t>test_an_unreadable_condition_is_rejected_at_configuration_time</t>
        </is>
      </c>
      <c r="F793" s="3" t="inlineStr">
        <is>
          <t>whole class</t>
        </is>
      </c>
      <c r="G793" s="2" t="n">
        <v>16</v>
      </c>
      <c r="H793" s="2" t="n">
        <v>16</v>
      </c>
      <c r="I793" s="3" t="inlineStr">
        <is>
          <t>consilium/consilium_core/tests/test_classification.py</t>
        </is>
      </c>
    </row>
    <row r="794" ht="30" customHeight="1">
      <c r="A794" s="2" t="inlineStr">
        <is>
          <t>P-16</t>
        </is>
      </c>
      <c r="B794" s="3" t="inlineStr">
        <is>
          <t>POL</t>
        </is>
      </c>
      <c r="C794" s="3" t="inlineStr">
        <is>
          <t>consilium_core.tests.test_classification</t>
        </is>
      </c>
      <c r="D794" s="3" t="inlineStr">
        <is>
          <t>TestClassification</t>
        </is>
      </c>
      <c r="E794" s="3" t="inlineStr">
        <is>
          <t>test_an_answer_option_for_an_unasked_question_is_rejected</t>
        </is>
      </c>
      <c r="F794" s="3" t="inlineStr">
        <is>
          <t>whole class</t>
        </is>
      </c>
      <c r="G794" s="2" t="n">
        <v>16</v>
      </c>
      <c r="H794" s="2" t="n">
        <v>16</v>
      </c>
      <c r="I794" s="3" t="inlineStr">
        <is>
          <t>consilium/consilium_core/tests/test_classification.py</t>
        </is>
      </c>
    </row>
    <row r="795" ht="30" customHeight="1">
      <c r="A795" s="2" t="inlineStr">
        <is>
          <t>P-16</t>
        </is>
      </c>
      <c r="B795" s="3" t="inlineStr">
        <is>
          <t>POL</t>
        </is>
      </c>
      <c r="C795" s="3" t="inlineStr">
        <is>
          <t>consilium_core.tests.test_classification</t>
        </is>
      </c>
      <c r="D795" s="3" t="inlineStr">
        <is>
          <t>TestClassification</t>
        </is>
      </c>
      <c r="E795" s="3" t="inlineStr">
        <is>
          <t>test_nested_conditions_evaluate</t>
        </is>
      </c>
      <c r="F795" s="3" t="inlineStr">
        <is>
          <t>whole class</t>
        </is>
      </c>
      <c r="G795" s="2" t="n">
        <v>16</v>
      </c>
      <c r="H795" s="2" t="n">
        <v>16</v>
      </c>
      <c r="I795" s="3" t="inlineStr">
        <is>
          <t>consilium/consilium_core/tests/test_classification.py</t>
        </is>
      </c>
    </row>
    <row r="796" ht="17" customHeight="1">
      <c r="A796" s="2" t="inlineStr">
        <is>
          <t>P-17</t>
        </is>
      </c>
      <c r="B796" s="3" t="inlineStr">
        <is>
          <t>POL</t>
        </is>
      </c>
      <c r="C796" s="3" t="inlineStr">
        <is>
          <t>policy.tests.test_repository</t>
        </is>
      </c>
      <c r="D796" s="3" t="inlineStr">
        <is>
          <t>TestGoverningDocument</t>
        </is>
      </c>
      <c r="E796" s="3" t="inlineStr">
        <is>
          <t>test_update_is_tracked</t>
        </is>
      </c>
      <c r="F796" s="3" t="inlineStr">
        <is>
          <t>named method</t>
        </is>
      </c>
      <c r="G796" s="2" t="n"/>
      <c r="H796" s="2" t="n">
        <v>1</v>
      </c>
      <c r="I796" s="3" t="inlineStr">
        <is>
          <t>consilium/policy/tests/test_repository.py</t>
        </is>
      </c>
    </row>
    <row r="797" ht="30" customHeight="1">
      <c r="A797" s="2" t="inlineStr">
        <is>
          <t>P-17</t>
        </is>
      </c>
      <c r="B797" s="3" t="inlineStr">
        <is>
          <t>POL</t>
        </is>
      </c>
      <c r="C797" s="3" t="inlineStr">
        <is>
          <t>policy.tests.test_handling</t>
        </is>
      </c>
      <c r="D797" s="3" t="inlineStr">
        <is>
          <t>TestActions</t>
        </is>
      </c>
      <c r="E797" s="3" t="inlineStr">
        <is>
          <t>test_an_attached_file_follows_the_download_flag_and_the_owner_may_always_download</t>
        </is>
      </c>
      <c r="F797" s="3" t="inlineStr">
        <is>
          <t>named method</t>
        </is>
      </c>
      <c r="G797" s="2" t="n"/>
      <c r="H797" s="2" t="n">
        <v>1</v>
      </c>
      <c r="I797" s="3" t="inlineStr">
        <is>
          <t>consilium/policy/tests/test_handling.py</t>
        </is>
      </c>
    </row>
    <row r="798" ht="17" customHeight="1">
      <c r="A798" s="2" t="inlineStr">
        <is>
          <t>P-17</t>
        </is>
      </c>
      <c r="B798" s="3" t="inlineStr">
        <is>
          <t>POL</t>
        </is>
      </c>
      <c r="C798" s="3" t="inlineStr">
        <is>
          <t>policy.tests.test_portal_actions</t>
        </is>
      </c>
      <c r="D798" s="3" t="inlineStr">
        <is>
          <t>TestVersions</t>
        </is>
      </c>
      <c r="E798" s="3" t="inlineStr">
        <is>
          <t>test_a_file_attached_to_the_document_becomes_a_version</t>
        </is>
      </c>
      <c r="F798" s="3" t="inlineStr">
        <is>
          <t>named method</t>
        </is>
      </c>
      <c r="G798" s="2" t="n"/>
      <c r="H798" s="2" t="n">
        <v>1</v>
      </c>
      <c r="I798" s="3" t="inlineStr">
        <is>
          <t>consilium/policy/tests/test_portal_actions.py</t>
        </is>
      </c>
    </row>
    <row r="799" ht="30" customHeight="1">
      <c r="A799" s="2" t="inlineStr">
        <is>
          <t>P-17</t>
        </is>
      </c>
      <c r="B799" s="3" t="inlineStr">
        <is>
          <t>POL</t>
        </is>
      </c>
      <c r="C799" s="3" t="inlineStr">
        <is>
          <t>consilium_core.tests.test_core_controls_wave3</t>
        </is>
      </c>
      <c r="D799" s="3" t="inlineStr">
        <is>
          <t>TestHistoryAndEvidencePack</t>
        </is>
      </c>
      <c r="E799" s="3" t="inlineStr">
        <is>
          <t>test_the_history_lists_changes_comments_and_notifications_in_one_list</t>
        </is>
      </c>
      <c r="F799" s="3" t="inlineStr">
        <is>
          <t>whole class</t>
        </is>
      </c>
      <c r="G799" s="2" t="n">
        <v>4</v>
      </c>
      <c r="H799" s="2" t="n">
        <v>4</v>
      </c>
      <c r="I799" s="3" t="inlineStr">
        <is>
          <t>consilium/consilium_core/tests/test_core_controls_wave3.py</t>
        </is>
      </c>
    </row>
    <row r="800" ht="30" customHeight="1">
      <c r="A800" s="2" t="inlineStr">
        <is>
          <t>P-17</t>
        </is>
      </c>
      <c r="B800" s="3" t="inlineStr">
        <is>
          <t>POL</t>
        </is>
      </c>
      <c r="C800" s="3" t="inlineStr">
        <is>
          <t>consilium_core.tests.test_core_controls_wave3</t>
        </is>
      </c>
      <c r="D800" s="3" t="inlineStr">
        <is>
          <t>TestHistoryAndEvidencePack</t>
        </is>
      </c>
      <c r="E800" s="3" t="inlineStr">
        <is>
          <t>test_the_history_is_refused_to_someone_who_cannot_read_the_record</t>
        </is>
      </c>
      <c r="F800" s="3" t="inlineStr">
        <is>
          <t>whole class</t>
        </is>
      </c>
      <c r="G800" s="2" t="n">
        <v>4</v>
      </c>
      <c r="H800" s="2" t="n">
        <v>4</v>
      </c>
      <c r="I800" s="3" t="inlineStr">
        <is>
          <t>consilium/consilium_core/tests/test_core_controls_wave3.py</t>
        </is>
      </c>
    </row>
    <row r="801" ht="30" customHeight="1">
      <c r="A801" s="2" t="inlineStr">
        <is>
          <t>P-17</t>
        </is>
      </c>
      <c r="B801" s="3" t="inlineStr">
        <is>
          <t>POL</t>
        </is>
      </c>
      <c r="C801" s="3" t="inlineStr">
        <is>
          <t>consilium_core.tests.test_core_controls_wave3</t>
        </is>
      </c>
      <c r="D801" s="3" t="inlineStr">
        <is>
          <t>TestHistoryAndEvidencePack</t>
        </is>
      </c>
      <c r="E801" s="3" t="inlineStr">
        <is>
          <t>test_the_pack_holds_the_record_its_history_and_a_verifiable_manifest</t>
        </is>
      </c>
      <c r="F801" s="3" t="inlineStr">
        <is>
          <t>whole class</t>
        </is>
      </c>
      <c r="G801" s="2" t="n">
        <v>4</v>
      </c>
      <c r="H801" s="2" t="n">
        <v>4</v>
      </c>
      <c r="I801" s="3" t="inlineStr">
        <is>
          <t>consilium/consilium_core/tests/test_core_controls_wave3.py</t>
        </is>
      </c>
    </row>
    <row r="802" ht="30" customHeight="1">
      <c r="A802" s="2" t="inlineStr">
        <is>
          <t>P-17</t>
        </is>
      </c>
      <c r="B802" s="3" t="inlineStr">
        <is>
          <t>POL</t>
        </is>
      </c>
      <c r="C802" s="3" t="inlineStr">
        <is>
          <t>consilium_core.tests.test_core_controls_wave3</t>
        </is>
      </c>
      <c r="D802" s="3" t="inlineStr">
        <is>
          <t>TestHistoryAndEvidencePack</t>
        </is>
      </c>
      <c r="E802" s="3" t="inlineStr">
        <is>
          <t>test_the_pack_is_refused_without_an_evidence_role_and_the_refusal_is_audited</t>
        </is>
      </c>
      <c r="F802" s="3" t="inlineStr">
        <is>
          <t>whole class</t>
        </is>
      </c>
      <c r="G802" s="2" t="n">
        <v>4</v>
      </c>
      <c r="H802" s="2" t="n">
        <v>4</v>
      </c>
      <c r="I802" s="3" t="inlineStr">
        <is>
          <t>consilium/consilium_core/tests/test_core_controls_wave3.py</t>
        </is>
      </c>
    </row>
    <row r="803" ht="17" customHeight="1">
      <c r="A803" s="2" t="inlineStr">
        <is>
          <t>P-18</t>
        </is>
      </c>
      <c r="B803" s="3" t="inlineStr">
        <is>
          <t>POL</t>
        </is>
      </c>
      <c r="C803" s="3" t="inlineStr">
        <is>
          <t>consilium_core.tests.test_retention</t>
        </is>
      </c>
      <c r="D803" s="3" t="inlineStr">
        <is>
          <t>TestRetention</t>
        </is>
      </c>
      <c r="E803" s="3" t="inlineStr">
        <is>
          <t>test_a_retained_record_cannot_be_modified</t>
        </is>
      </c>
      <c r="F803" s="3" t="inlineStr">
        <is>
          <t>whole class</t>
        </is>
      </c>
      <c r="G803" s="2" t="n">
        <v>14</v>
      </c>
      <c r="H803" s="2" t="n">
        <v>14</v>
      </c>
      <c r="I803" s="3" t="inlineStr">
        <is>
          <t>consilium/consilium_core/tests/test_retention.py</t>
        </is>
      </c>
    </row>
    <row r="804" ht="17" customHeight="1">
      <c r="A804" s="2" t="inlineStr">
        <is>
          <t>P-18</t>
        </is>
      </c>
      <c r="B804" s="3" t="inlineStr">
        <is>
          <t>POL</t>
        </is>
      </c>
      <c r="C804" s="3" t="inlineStr">
        <is>
          <t>consilium_core.tests.test_retention</t>
        </is>
      </c>
      <c r="D804" s="3" t="inlineStr">
        <is>
          <t>TestRetention</t>
        </is>
      </c>
      <c r="E804" s="3" t="inlineStr">
        <is>
          <t>test_a_retained_record_cannot_be_deleted</t>
        </is>
      </c>
      <c r="F804" s="3" t="inlineStr">
        <is>
          <t>whole class</t>
        </is>
      </c>
      <c r="G804" s="2" t="n">
        <v>14</v>
      </c>
      <c r="H804" s="2" t="n">
        <v>14</v>
      </c>
      <c r="I804" s="3" t="inlineStr">
        <is>
          <t>consilium/consilium_core/tests/test_retention.py</t>
        </is>
      </c>
    </row>
    <row r="805" ht="17" customHeight="1">
      <c r="A805" s="2" t="inlineStr">
        <is>
          <t>P-18</t>
        </is>
      </c>
      <c r="B805" s="3" t="inlineStr">
        <is>
          <t>POL</t>
        </is>
      </c>
      <c r="C805" s="3" t="inlineStr">
        <is>
          <t>consilium_core.tests.test_retention</t>
        </is>
      </c>
      <c r="D805" s="3" t="inlineStr">
        <is>
          <t>TestRetention</t>
        </is>
      </c>
      <c r="E805" s="3" t="inlineStr">
        <is>
          <t>test_a_record_outside_the_assignment_is_untouched</t>
        </is>
      </c>
      <c r="F805" s="3" t="inlineStr">
        <is>
          <t>whole class</t>
        </is>
      </c>
      <c r="G805" s="2" t="n">
        <v>14</v>
      </c>
      <c r="H805" s="2" t="n">
        <v>14</v>
      </c>
      <c r="I805" s="3" t="inlineStr">
        <is>
          <t>consilium/consilium_core/tests/test_retention.py</t>
        </is>
      </c>
    </row>
    <row r="806" ht="17" customHeight="1">
      <c r="A806" s="2" t="inlineStr">
        <is>
          <t>P-18</t>
        </is>
      </c>
      <c r="B806" s="3" t="inlineStr">
        <is>
          <t>POL</t>
        </is>
      </c>
      <c r="C806" s="3" t="inlineStr">
        <is>
          <t>consilium_core.tests.test_retention</t>
        </is>
      </c>
      <c r="D806" s="3" t="inlineStr">
        <is>
          <t>TestRetention</t>
        </is>
      </c>
      <c r="E806" s="3" t="inlineStr">
        <is>
          <t>test_a_class_without_worm_does_not_freeze_the_record</t>
        </is>
      </c>
      <c r="F806" s="3" t="inlineStr">
        <is>
          <t>whole class</t>
        </is>
      </c>
      <c r="G806" s="2" t="n">
        <v>14</v>
      </c>
      <c r="H806" s="2" t="n">
        <v>14</v>
      </c>
      <c r="I806" s="3" t="inlineStr">
        <is>
          <t>consilium/consilium_core/tests/test_retention.py</t>
        </is>
      </c>
    </row>
    <row r="807" ht="17" customHeight="1">
      <c r="A807" s="2" t="inlineStr">
        <is>
          <t>P-18</t>
        </is>
      </c>
      <c r="B807" s="3" t="inlineStr">
        <is>
          <t>POL</t>
        </is>
      </c>
      <c r="C807" s="3" t="inlineStr">
        <is>
          <t>consilium_core.tests.test_retention</t>
        </is>
      </c>
      <c r="D807" s="3" t="inlineStr">
        <is>
          <t>TestRetention</t>
        </is>
      </c>
      <c r="E807" s="3" t="inlineStr">
        <is>
          <t>test_the_most_specific_assignment_wins</t>
        </is>
      </c>
      <c r="F807" s="3" t="inlineStr">
        <is>
          <t>whole class</t>
        </is>
      </c>
      <c r="G807" s="2" t="n">
        <v>14</v>
      </c>
      <c r="H807" s="2" t="n">
        <v>14</v>
      </c>
      <c r="I807" s="3" t="inlineStr">
        <is>
          <t>consilium/consilium_core/tests/test_retention.py</t>
        </is>
      </c>
    </row>
    <row r="808" ht="30" customHeight="1">
      <c r="A808" s="2" t="inlineStr">
        <is>
          <t>P-18</t>
        </is>
      </c>
      <c r="B808" s="3" t="inlineStr">
        <is>
          <t>POL</t>
        </is>
      </c>
      <c r="C808" s="3" t="inlineStr">
        <is>
          <t>consilium_core.tests.test_retention</t>
        </is>
      </c>
      <c r="D808" s="3" t="inlineStr">
        <is>
          <t>TestRetention</t>
        </is>
      </c>
      <c r="E808" s="3" t="inlineStr">
        <is>
          <t>test_a_legal_hold_freezes_a_record_that_no_retention_class_covers</t>
        </is>
      </c>
      <c r="F808" s="3" t="inlineStr">
        <is>
          <t>whole class</t>
        </is>
      </c>
      <c r="G808" s="2" t="n">
        <v>14</v>
      </c>
      <c r="H808" s="2" t="n">
        <v>14</v>
      </c>
      <c r="I808" s="3" t="inlineStr">
        <is>
          <t>consilium/consilium_core/tests/test_retention.py</t>
        </is>
      </c>
    </row>
    <row r="809" ht="17" customHeight="1">
      <c r="A809" s="2" t="inlineStr">
        <is>
          <t>P-18</t>
        </is>
      </c>
      <c r="B809" s="3" t="inlineStr">
        <is>
          <t>POL</t>
        </is>
      </c>
      <c r="C809" s="3" t="inlineStr">
        <is>
          <t>consilium_core.tests.test_retention</t>
        </is>
      </c>
      <c r="D809" s="3" t="inlineStr">
        <is>
          <t>TestRetention</t>
        </is>
      </c>
      <c r="E809" s="3" t="inlineStr">
        <is>
          <t>test_a_released_hold_is_not_active</t>
        </is>
      </c>
      <c r="F809" s="3" t="inlineStr">
        <is>
          <t>whole class</t>
        </is>
      </c>
      <c r="G809" s="2" t="n">
        <v>14</v>
      </c>
      <c r="H809" s="2" t="n">
        <v>14</v>
      </c>
      <c r="I809" s="3" t="inlineStr">
        <is>
          <t>consilium/consilium_core/tests/test_retention.py</t>
        </is>
      </c>
    </row>
    <row r="810" ht="17" customHeight="1">
      <c r="A810" s="2" t="inlineStr">
        <is>
          <t>P-18</t>
        </is>
      </c>
      <c r="B810" s="3" t="inlineStr">
        <is>
          <t>POL</t>
        </is>
      </c>
      <c r="C810" s="3" t="inlineStr">
        <is>
          <t>consilium_core.tests.test_retention</t>
        </is>
      </c>
      <c r="D810" s="3" t="inlineStr">
        <is>
          <t>TestRetention</t>
        </is>
      </c>
      <c r="E810" s="3" t="inlineStr">
        <is>
          <t>test_a_hold_released_before_it_was_placed_is_rejected</t>
        </is>
      </c>
      <c r="F810" s="3" t="inlineStr">
        <is>
          <t>whole class</t>
        </is>
      </c>
      <c r="G810" s="2" t="n">
        <v>14</v>
      </c>
      <c r="H810" s="2" t="n">
        <v>14</v>
      </c>
      <c r="I810" s="3" t="inlineStr">
        <is>
          <t>consilium/consilium_core/tests/test_retention.py</t>
        </is>
      </c>
    </row>
    <row r="811" ht="17" customHeight="1">
      <c r="A811" s="2" t="inlineStr">
        <is>
          <t>P-18</t>
        </is>
      </c>
      <c r="B811" s="3" t="inlineStr">
        <is>
          <t>POL</t>
        </is>
      </c>
      <c r="C811" s="3" t="inlineStr">
        <is>
          <t>consilium_core.tests.test_retention</t>
        </is>
      </c>
      <c r="D811" s="3" t="inlineStr">
        <is>
          <t>TestRetention</t>
        </is>
      </c>
      <c r="E811" s="3" t="inlineStr">
        <is>
          <t>test_an_archive_record_is_hash_chained_and_immutable</t>
        </is>
      </c>
      <c r="F811" s="3" t="inlineStr">
        <is>
          <t>whole class</t>
        </is>
      </c>
      <c r="G811" s="2" t="n">
        <v>14</v>
      </c>
      <c r="H811" s="2" t="n">
        <v>14</v>
      </c>
      <c r="I811" s="3" t="inlineStr">
        <is>
          <t>consilium/consilium_core/tests/test_retention.py</t>
        </is>
      </c>
    </row>
    <row r="812" ht="17" customHeight="1">
      <c r="A812" s="2" t="inlineStr">
        <is>
          <t>P-18</t>
        </is>
      </c>
      <c r="B812" s="3" t="inlineStr">
        <is>
          <t>POL</t>
        </is>
      </c>
      <c r="C812" s="3" t="inlineStr">
        <is>
          <t>consilium_core.tests.test_retention</t>
        </is>
      </c>
      <c r="D812" s="3" t="inlineStr">
        <is>
          <t>TestRetention</t>
        </is>
      </c>
      <c r="E812" s="3" t="inlineStr">
        <is>
          <t>test_a_legal_hold_overrides_a_scheduled_disposal</t>
        </is>
      </c>
      <c r="F812" s="3" t="inlineStr">
        <is>
          <t>whole class</t>
        </is>
      </c>
      <c r="G812" s="2" t="n">
        <v>14</v>
      </c>
      <c r="H812" s="2" t="n">
        <v>14</v>
      </c>
      <c r="I812" s="3" t="inlineStr">
        <is>
          <t>consilium/consilium_core/tests/test_retention.py</t>
        </is>
      </c>
    </row>
    <row r="813" ht="17" customHeight="1">
      <c r="A813" s="2" t="inlineStr">
        <is>
          <t>P-18</t>
        </is>
      </c>
      <c r="B813" s="3" t="inlineStr">
        <is>
          <t>POL</t>
        </is>
      </c>
      <c r="C813" s="3" t="inlineStr">
        <is>
          <t>consilium_core.tests.test_retention</t>
        </is>
      </c>
      <c r="D813" s="3" t="inlineStr">
        <is>
          <t>TestRetention</t>
        </is>
      </c>
      <c r="E813" s="3" t="inlineStr">
        <is>
          <t>test_disposal_without_an_approver_is_refused</t>
        </is>
      </c>
      <c r="F813" s="3" t="inlineStr">
        <is>
          <t>whole class</t>
        </is>
      </c>
      <c r="G813" s="2" t="n">
        <v>14</v>
      </c>
      <c r="H813" s="2" t="n">
        <v>14</v>
      </c>
      <c r="I813" s="3" t="inlineStr">
        <is>
          <t>consilium/consilium_core/tests/test_retention.py</t>
        </is>
      </c>
    </row>
    <row r="814" ht="17" customHeight="1">
      <c r="A814" s="2" t="inlineStr">
        <is>
          <t>P-18</t>
        </is>
      </c>
      <c r="B814" s="3" t="inlineStr">
        <is>
          <t>POL</t>
        </is>
      </c>
      <c r="C814" s="3" t="inlineStr">
        <is>
          <t>consilium_core.tests.test_retention</t>
        </is>
      </c>
      <c r="D814" s="3" t="inlineStr">
        <is>
          <t>TestRetention</t>
        </is>
      </c>
      <c r="E814" s="3" t="inlineStr">
        <is>
          <t>test_an_approved_disposal_executes</t>
        </is>
      </c>
      <c r="F814" s="3" t="inlineStr">
        <is>
          <t>whole class</t>
        </is>
      </c>
      <c r="G814" s="2" t="n">
        <v>14</v>
      </c>
      <c r="H814" s="2" t="n">
        <v>14</v>
      </c>
      <c r="I814" s="3" t="inlineStr">
        <is>
          <t>consilium/consilium_core/tests/test_retention.py</t>
        </is>
      </c>
    </row>
    <row r="815" ht="17" customHeight="1">
      <c r="A815" s="2" t="inlineStr">
        <is>
          <t>P-18</t>
        </is>
      </c>
      <c r="B815" s="3" t="inlineStr">
        <is>
          <t>POL</t>
        </is>
      </c>
      <c r="C815" s="3" t="inlineStr">
        <is>
          <t>consilium_core.tests.test_retention</t>
        </is>
      </c>
      <c r="D815" s="3" t="inlineStr">
        <is>
          <t>TestRetention</t>
        </is>
      </c>
      <c r="E815" s="3" t="inlineStr">
        <is>
          <t>test_releasing_a_hold_returns_held_events_to_the_schedule</t>
        </is>
      </c>
      <c r="F815" s="3" t="inlineStr">
        <is>
          <t>whole class</t>
        </is>
      </c>
      <c r="G815" s="2" t="n">
        <v>14</v>
      </c>
      <c r="H815" s="2" t="n">
        <v>14</v>
      </c>
      <c r="I815" s="3" t="inlineStr">
        <is>
          <t>consilium/consilium_core/tests/test_retention.py</t>
        </is>
      </c>
    </row>
    <row r="816" ht="17" customHeight="1">
      <c r="A816" s="2" t="inlineStr">
        <is>
          <t>P-18</t>
        </is>
      </c>
      <c r="B816" s="3" t="inlineStr">
        <is>
          <t>POL</t>
        </is>
      </c>
      <c r="C816" s="3" t="inlineStr">
        <is>
          <t>consilium_core.tests.test_retention</t>
        </is>
      </c>
      <c r="D816" s="3" t="inlineStr">
        <is>
          <t>TestRetention</t>
        </is>
      </c>
      <c r="E816" s="3" t="inlineStr">
        <is>
          <t>test_the_due_date_comes_from_the_class_trigger</t>
        </is>
      </c>
      <c r="F816" s="3" t="inlineStr">
        <is>
          <t>whole class</t>
        </is>
      </c>
      <c r="G816" s="2" t="n">
        <v>14</v>
      </c>
      <c r="H816" s="2" t="n">
        <v>14</v>
      </c>
      <c r="I816" s="3" t="inlineStr">
        <is>
          <t>consilium/consilium_core/tests/test_retention.py</t>
        </is>
      </c>
    </row>
    <row r="817" ht="30" customHeight="1">
      <c r="A817" s="2" t="inlineStr">
        <is>
          <t>P-18</t>
        </is>
      </c>
      <c r="B817" s="3" t="inlineStr">
        <is>
          <t>POL</t>
        </is>
      </c>
      <c r="C817" s="3" t="inlineStr">
        <is>
          <t>consilium_core.tests.test_core_controls_wave3</t>
        </is>
      </c>
      <c r="D817" s="3" t="inlineStr">
        <is>
          <t>TestScheduledDisposalReview</t>
        </is>
      </c>
      <c r="E817" s="3" t="inlineStr">
        <is>
          <t>test_a_record_past_its_retention_is_flagged_once_and_nothing_is_deleted</t>
        </is>
      </c>
      <c r="F817" s="3" t="inlineStr">
        <is>
          <t>whole class</t>
        </is>
      </c>
      <c r="G817" s="2" t="n">
        <v>5</v>
      </c>
      <c r="H817" s="2" t="n">
        <v>5</v>
      </c>
      <c r="I817" s="3" t="inlineStr">
        <is>
          <t>consilium/consilium_core/tests/test_core_controls_wave3.py</t>
        </is>
      </c>
    </row>
    <row r="818" ht="30" customHeight="1">
      <c r="A818" s="2" t="inlineStr">
        <is>
          <t>P-18</t>
        </is>
      </c>
      <c r="B818" s="3" t="inlineStr">
        <is>
          <t>POL</t>
        </is>
      </c>
      <c r="C818" s="3" t="inlineStr">
        <is>
          <t>consilium_core.tests.test_core_controls_wave3</t>
        </is>
      </c>
      <c r="D818" s="3" t="inlineStr">
        <is>
          <t>TestScheduledDisposalReview</t>
        </is>
      </c>
      <c r="E818" s="3" t="inlineStr">
        <is>
          <t>test_a_record_still_within_retention_is_not_flagged</t>
        </is>
      </c>
      <c r="F818" s="3" t="inlineStr">
        <is>
          <t>whole class</t>
        </is>
      </c>
      <c r="G818" s="2" t="n">
        <v>5</v>
      </c>
      <c r="H818" s="2" t="n">
        <v>5</v>
      </c>
      <c r="I818" s="3" t="inlineStr">
        <is>
          <t>consilium/consilium_core/tests/test_core_controls_wave3.py</t>
        </is>
      </c>
    </row>
    <row r="819" ht="30" customHeight="1">
      <c r="A819" s="2" t="inlineStr">
        <is>
          <t>P-18</t>
        </is>
      </c>
      <c r="B819" s="3" t="inlineStr">
        <is>
          <t>POL</t>
        </is>
      </c>
      <c r="C819" s="3" t="inlineStr">
        <is>
          <t>consilium_core.tests.test_core_controls_wave3</t>
        </is>
      </c>
      <c r="D819" s="3" t="inlineStr">
        <is>
          <t>TestScheduledDisposalReview</t>
        </is>
      </c>
      <c r="E819" s="3" t="inlineStr">
        <is>
          <t>test_a_held_record_is_flagged_as_held</t>
        </is>
      </c>
      <c r="F819" s="3" t="inlineStr">
        <is>
          <t>whole class</t>
        </is>
      </c>
      <c r="G819" s="2" t="n">
        <v>5</v>
      </c>
      <c r="H819" s="2" t="n">
        <v>5</v>
      </c>
      <c r="I819" s="3" t="inlineStr">
        <is>
          <t>consilium/consilium_core/tests/test_core_controls_wave3.py</t>
        </is>
      </c>
    </row>
    <row r="820" ht="30" customHeight="1">
      <c r="A820" s="2" t="inlineStr">
        <is>
          <t>P-18</t>
        </is>
      </c>
      <c r="B820" s="3" t="inlineStr">
        <is>
          <t>POL</t>
        </is>
      </c>
      <c r="C820" s="3" t="inlineStr">
        <is>
          <t>consilium_core.tests.test_core_controls_wave3</t>
        </is>
      </c>
      <c r="D820" s="3" t="inlineStr">
        <is>
          <t>TestScheduledDisposalReview</t>
        </is>
      </c>
      <c r="E820" s="3" t="inlineStr">
        <is>
          <t>test_a_hold_placed_after_scheduling_holds_the_scheduled_disposal</t>
        </is>
      </c>
      <c r="F820" s="3" t="inlineStr">
        <is>
          <t>whole class</t>
        </is>
      </c>
      <c r="G820" s="2" t="n">
        <v>5</v>
      </c>
      <c r="H820" s="2" t="n">
        <v>5</v>
      </c>
      <c r="I820" s="3" t="inlineStr">
        <is>
          <t>consilium/consilium_core/tests/test_core_controls_wave3.py</t>
        </is>
      </c>
    </row>
    <row r="821" ht="30" customHeight="1">
      <c r="A821" s="2" t="inlineStr">
        <is>
          <t>P-18</t>
        </is>
      </c>
      <c r="B821" s="3" t="inlineStr">
        <is>
          <t>POL</t>
        </is>
      </c>
      <c r="C821" s="3" t="inlineStr">
        <is>
          <t>consilium_core.tests.test_core_controls_wave3</t>
        </is>
      </c>
      <c r="D821" s="3" t="inlineStr">
        <is>
          <t>TestScheduledDisposalReview</t>
        </is>
      </c>
      <c r="E821" s="3" t="inlineStr">
        <is>
          <t>test_the_job_is_on_the_daily_schedule</t>
        </is>
      </c>
      <c r="F821" s="3" t="inlineStr">
        <is>
          <t>whole class</t>
        </is>
      </c>
      <c r="G821" s="2" t="n">
        <v>5</v>
      </c>
      <c r="H821" s="2" t="n">
        <v>5</v>
      </c>
      <c r="I821" s="3" t="inlineStr">
        <is>
          <t>consilium/consilium_core/tests/test_core_controls_wave3.py</t>
        </is>
      </c>
    </row>
    <row r="822" ht="30" customHeight="1">
      <c r="A822" s="2" t="inlineStr">
        <is>
          <t>P-19</t>
        </is>
      </c>
      <c r="B822" s="3" t="inlineStr">
        <is>
          <t>POL</t>
        </is>
      </c>
      <c r="C822" s="3" t="inlineStr">
        <is>
          <t>policy.tests.test_portal_actions</t>
        </is>
      </c>
      <c r="D822" s="3" t="inlineStr">
        <is>
          <t>TestPublication</t>
        </is>
      </c>
      <c r="E822" s="3" t="inlineStr">
        <is>
          <t>test_the_office_records_a_publication_and_the_audience_is_told</t>
        </is>
      </c>
      <c r="F822" s="3" t="inlineStr">
        <is>
          <t>whole class</t>
        </is>
      </c>
      <c r="G822" s="2" t="n">
        <v>7</v>
      </c>
      <c r="H822" s="2" t="n">
        <v>7</v>
      </c>
      <c r="I822" s="3" t="inlineStr">
        <is>
          <t>consilium/policy/tests/test_portal_actions.py</t>
        </is>
      </c>
    </row>
    <row r="823" ht="17" customHeight="1">
      <c r="A823" s="2" t="inlineStr">
        <is>
          <t>P-19</t>
        </is>
      </c>
      <c r="B823" s="3" t="inlineStr">
        <is>
          <t>POL</t>
        </is>
      </c>
      <c r="C823" s="3" t="inlineStr">
        <is>
          <t>policy.tests.test_portal_actions</t>
        </is>
      </c>
      <c r="D823" s="3" t="inlineStr">
        <is>
          <t>TestPublication</t>
        </is>
      </c>
      <c r="E823" s="3" t="inlineStr">
        <is>
          <t>test_a_view_only_publication_closes_print_and_download</t>
        </is>
      </c>
      <c r="F823" s="3" t="inlineStr">
        <is>
          <t>whole class</t>
        </is>
      </c>
      <c r="G823" s="2" t="n">
        <v>7</v>
      </c>
      <c r="H823" s="2" t="n">
        <v>7</v>
      </c>
      <c r="I823" s="3" t="inlineStr">
        <is>
          <t>consilium/policy/tests/test_portal_actions.py</t>
        </is>
      </c>
    </row>
    <row r="824" ht="17" customHeight="1">
      <c r="A824" s="2" t="inlineStr">
        <is>
          <t>P-19</t>
        </is>
      </c>
      <c r="B824" s="3" t="inlineStr">
        <is>
          <t>POL</t>
        </is>
      </c>
      <c r="C824" s="3" t="inlineStr">
        <is>
          <t>policy.tests.test_portal_actions</t>
        </is>
      </c>
      <c r="D824" s="3" t="inlineStr">
        <is>
          <t>TestPublication</t>
        </is>
      </c>
      <c r="E824" s="3" t="inlineStr">
        <is>
          <t>test_a_targeted_publication_names_its_audience</t>
        </is>
      </c>
      <c r="F824" s="3" t="inlineStr">
        <is>
          <t>whole class</t>
        </is>
      </c>
      <c r="G824" s="2" t="n">
        <v>7</v>
      </c>
      <c r="H824" s="2" t="n">
        <v>7</v>
      </c>
      <c r="I824" s="3" t="inlineStr">
        <is>
          <t>consilium/policy/tests/test_portal_actions.py</t>
        </is>
      </c>
    </row>
    <row r="825" ht="17" customHeight="1">
      <c r="A825" s="2" t="inlineStr">
        <is>
          <t>P-19</t>
        </is>
      </c>
      <c r="B825" s="3" t="inlineStr">
        <is>
          <t>POL</t>
        </is>
      </c>
      <c r="C825" s="3" t="inlineStr">
        <is>
          <t>policy.tests.test_portal_actions</t>
        </is>
      </c>
      <c r="D825" s="3" t="inlineStr">
        <is>
          <t>TestPublication</t>
        </is>
      </c>
      <c r="E825" s="3" t="inlineStr">
        <is>
          <t>test_an_owner_cannot_record_a_publication</t>
        </is>
      </c>
      <c r="F825" s="3" t="inlineStr">
        <is>
          <t>whole class</t>
        </is>
      </c>
      <c r="G825" s="2" t="n">
        <v>7</v>
      </c>
      <c r="H825" s="2" t="n">
        <v>7</v>
      </c>
      <c r="I825" s="3" t="inlineStr">
        <is>
          <t>consilium/policy/tests/test_portal_actions.py</t>
        </is>
      </c>
    </row>
    <row r="826" ht="17" customHeight="1">
      <c r="A826" s="2" t="inlineStr">
        <is>
          <t>P-19</t>
        </is>
      </c>
      <c r="B826" s="3" t="inlineStr">
        <is>
          <t>POL</t>
        </is>
      </c>
      <c r="C826" s="3" t="inlineStr">
        <is>
          <t>policy.tests.test_portal_actions</t>
        </is>
      </c>
      <c r="D826" s="3" t="inlineStr">
        <is>
          <t>TestPublication</t>
        </is>
      </c>
      <c r="E826" s="3" t="inlineStr">
        <is>
          <t>test_nothing_is_published_before_it_is_in_force</t>
        </is>
      </c>
      <c r="F826" s="3" t="inlineStr">
        <is>
          <t>whole class</t>
        </is>
      </c>
      <c r="G826" s="2" t="n">
        <v>7</v>
      </c>
      <c r="H826" s="2" t="n">
        <v>7</v>
      </c>
      <c r="I826" s="3" t="inlineStr">
        <is>
          <t>consilium/policy/tests/test_portal_actions.py</t>
        </is>
      </c>
    </row>
    <row r="827" ht="17" customHeight="1">
      <c r="A827" s="2" t="inlineStr">
        <is>
          <t>P-19</t>
        </is>
      </c>
      <c r="B827" s="3" t="inlineStr">
        <is>
          <t>POL</t>
        </is>
      </c>
      <c r="C827" s="3" t="inlineStr">
        <is>
          <t>policy.tests.test_portal_actions</t>
        </is>
      </c>
      <c r="D827" s="3" t="inlineStr">
        <is>
          <t>TestPublication</t>
        </is>
      </c>
      <c r="E827" s="3" t="inlineStr">
        <is>
          <t>test_a_publication_is_withdrawn_once</t>
        </is>
      </c>
      <c r="F827" s="3" t="inlineStr">
        <is>
          <t>whole class</t>
        </is>
      </c>
      <c r="G827" s="2" t="n">
        <v>7</v>
      </c>
      <c r="H827" s="2" t="n">
        <v>7</v>
      </c>
      <c r="I827" s="3" t="inlineStr">
        <is>
          <t>consilium/policy/tests/test_portal_actions.py</t>
        </is>
      </c>
    </row>
    <row r="828" ht="17" customHeight="1">
      <c r="A828" s="2" t="inlineStr">
        <is>
          <t>P-19</t>
        </is>
      </c>
      <c r="B828" s="3" t="inlineStr">
        <is>
          <t>POL</t>
        </is>
      </c>
      <c r="C828" s="3" t="inlineStr">
        <is>
          <t>policy.tests.test_portal_actions</t>
        </is>
      </c>
      <c r="D828" s="3" t="inlineStr">
        <is>
          <t>TestPublication</t>
        </is>
      </c>
      <c r="E828" s="3" t="inlineStr">
        <is>
          <t>test_an_owner_cannot_withdraw_a_publication</t>
        </is>
      </c>
      <c r="F828" s="3" t="inlineStr">
        <is>
          <t>whole class</t>
        </is>
      </c>
      <c r="G828" s="2" t="n">
        <v>7</v>
      </c>
      <c r="H828" s="2" t="n">
        <v>7</v>
      </c>
      <c r="I828" s="3" t="inlineStr">
        <is>
          <t>consilium/policy/tests/test_portal_actions.py</t>
        </is>
      </c>
    </row>
    <row r="829" ht="30" customHeight="1">
      <c r="A829" s="2" t="inlineStr">
        <is>
          <t>P-19</t>
        </is>
      </c>
      <c r="B829" s="3" t="inlineStr">
        <is>
          <t>POL</t>
        </is>
      </c>
      <c r="C829" s="3" t="inlineStr">
        <is>
          <t>policy.tests.test_handling</t>
        </is>
      </c>
      <c r="D829" s="3" t="inlineStr">
        <is>
          <t>TestActions</t>
        </is>
      </c>
      <c r="E829" s="3" t="inlineStr">
        <is>
          <t>test_a_view_only_rendition_closes_download_even_when_the_document_allows_it</t>
        </is>
      </c>
      <c r="F829" s="3" t="inlineStr">
        <is>
          <t>named method</t>
        </is>
      </c>
      <c r="G829" s="2" t="n"/>
      <c r="H829" s="2" t="n">
        <v>1</v>
      </c>
      <c r="I829" s="3" t="inlineStr">
        <is>
          <t>consilium/policy/tests/test_handling.py</t>
        </is>
      </c>
    </row>
    <row r="830" ht="17" customHeight="1">
      <c r="A830" s="2" t="inlineStr">
        <is>
          <t>P-19</t>
        </is>
      </c>
      <c r="B830" s="3" t="inlineStr">
        <is>
          <t>POL</t>
        </is>
      </c>
      <c r="C830" s="3" t="inlineStr">
        <is>
          <t>policy.tests.test_lifecycle</t>
        </is>
      </c>
      <c r="D830" s="3" t="inlineStr">
        <is>
          <t>TestVersioningAndPublication</t>
        </is>
      </c>
      <c r="E830" s="3" t="inlineStr">
        <is>
          <t>test_a_view_only_rendition_closes_print_and_download</t>
        </is>
      </c>
      <c r="F830" s="3" t="inlineStr">
        <is>
          <t>named method</t>
        </is>
      </c>
      <c r="G830" s="2" t="n"/>
      <c r="H830" s="2" t="n">
        <v>1</v>
      </c>
      <c r="I830" s="3" t="inlineStr">
        <is>
          <t>consilium/policy/tests/test_lifecycle.py</t>
        </is>
      </c>
    </row>
    <row r="831" ht="30" customHeight="1">
      <c r="A831" s="2" t="inlineStr">
        <is>
          <t>P-20</t>
        </is>
      </c>
      <c r="B831" s="3" t="inlineStr">
        <is>
          <t>POL</t>
        </is>
      </c>
      <c r="C831" s="3" t="inlineStr">
        <is>
          <t>consilium_core.tests.test_import_pipeline</t>
        </is>
      </c>
      <c r="D831" s="3" t="inlineStr">
        <is>
          <t>TestImportPipeline</t>
        </is>
      </c>
      <c r="E831" s="3" t="inlineStr">
        <is>
          <t>test_a_clean_file_validates_and_commits</t>
        </is>
      </c>
      <c r="F831" s="3" t="inlineStr">
        <is>
          <t>whole class</t>
        </is>
      </c>
      <c r="G831" s="2" t="n">
        <v>9</v>
      </c>
      <c r="H831" s="2" t="n">
        <v>9</v>
      </c>
      <c r="I831" s="3" t="inlineStr">
        <is>
          <t>consilium/consilium_core/tests/test_import_pipeline.py</t>
        </is>
      </c>
    </row>
    <row r="832" ht="30" customHeight="1">
      <c r="A832" s="2" t="inlineStr">
        <is>
          <t>P-20</t>
        </is>
      </c>
      <c r="B832" s="3" t="inlineStr">
        <is>
          <t>POL</t>
        </is>
      </c>
      <c r="C832" s="3" t="inlineStr">
        <is>
          <t>consilium_core.tests.test_import_pipeline</t>
        </is>
      </c>
      <c r="D832" s="3" t="inlineStr">
        <is>
          <t>TestImportPipeline</t>
        </is>
      </c>
      <c r="E832" s="3" t="inlineStr">
        <is>
          <t>test_a_row_missing_a_required_value_is_held_back</t>
        </is>
      </c>
      <c r="F832" s="3" t="inlineStr">
        <is>
          <t>whole class</t>
        </is>
      </c>
      <c r="G832" s="2" t="n">
        <v>9</v>
      </c>
      <c r="H832" s="2" t="n">
        <v>9</v>
      </c>
      <c r="I832" s="3" t="inlineStr">
        <is>
          <t>consilium/consilium_core/tests/test_import_pipeline.py</t>
        </is>
      </c>
    </row>
    <row r="833" ht="30" customHeight="1">
      <c r="A833" s="2" t="inlineStr">
        <is>
          <t>P-20</t>
        </is>
      </c>
      <c r="B833" s="3" t="inlineStr">
        <is>
          <t>POL</t>
        </is>
      </c>
      <c r="C833" s="3" t="inlineStr">
        <is>
          <t>consilium_core.tests.test_import_pipeline</t>
        </is>
      </c>
      <c r="D833" s="3" t="inlineStr">
        <is>
          <t>TestImportPipeline</t>
        </is>
      </c>
      <c r="E833" s="3" t="inlineStr">
        <is>
          <t>test_reject_batch_handling_rejects_the_whole_file</t>
        </is>
      </c>
      <c r="F833" s="3" t="inlineStr">
        <is>
          <t>whole class</t>
        </is>
      </c>
      <c r="G833" s="2" t="n">
        <v>9</v>
      </c>
      <c r="H833" s="2" t="n">
        <v>9</v>
      </c>
      <c r="I833" s="3" t="inlineStr">
        <is>
          <t>consilium/consilium_core/tests/test_import_pipeline.py</t>
        </is>
      </c>
    </row>
    <row r="834" ht="30" customHeight="1">
      <c r="A834" s="2" t="inlineStr">
        <is>
          <t>P-20</t>
        </is>
      </c>
      <c r="B834" s="3" t="inlineStr">
        <is>
          <t>POL</t>
        </is>
      </c>
      <c r="C834" s="3" t="inlineStr">
        <is>
          <t>consilium_core.tests.test_import_pipeline</t>
        </is>
      </c>
      <c r="D834" s="3" t="inlineStr">
        <is>
          <t>TestImportPipeline</t>
        </is>
      </c>
      <c r="E834" s="3" t="inlineStr">
        <is>
          <t>test_an_unknown_taxonomy_value_is_handled_as_configured</t>
        </is>
      </c>
      <c r="F834" s="3" t="inlineStr">
        <is>
          <t>whole class</t>
        </is>
      </c>
      <c r="G834" s="2" t="n">
        <v>9</v>
      </c>
      <c r="H834" s="2" t="n">
        <v>9</v>
      </c>
      <c r="I834" s="3" t="inlineStr">
        <is>
          <t>consilium/consilium_core/tests/test_import_pipeline.py</t>
        </is>
      </c>
    </row>
    <row r="835" ht="30" customHeight="1">
      <c r="A835" s="2" t="inlineStr">
        <is>
          <t>P-20</t>
        </is>
      </c>
      <c r="B835" s="3" t="inlineStr">
        <is>
          <t>POL</t>
        </is>
      </c>
      <c r="C835" s="3" t="inlineStr">
        <is>
          <t>consilium_core.tests.test_import_pipeline</t>
        </is>
      </c>
      <c r="D835" s="3" t="inlineStr">
        <is>
          <t>TestImportPipeline</t>
        </is>
      </c>
      <c r="E835" s="3" t="inlineStr">
        <is>
          <t>test_a_second_import_of_the_same_key_updates_rather_than_duplicates</t>
        </is>
      </c>
      <c r="F835" s="3" t="inlineStr">
        <is>
          <t>whole class</t>
        </is>
      </c>
      <c r="G835" s="2" t="n">
        <v>9</v>
      </c>
      <c r="H835" s="2" t="n">
        <v>9</v>
      </c>
      <c r="I835" s="3" t="inlineStr">
        <is>
          <t>consilium/consilium_core/tests/test_import_pipeline.py</t>
        </is>
      </c>
    </row>
    <row r="836" ht="30" customHeight="1">
      <c r="A836" s="2" t="inlineStr">
        <is>
          <t>P-20</t>
        </is>
      </c>
      <c r="B836" s="3" t="inlineStr">
        <is>
          <t>POL</t>
        </is>
      </c>
      <c r="C836" s="3" t="inlineStr">
        <is>
          <t>consilium_core.tests.test_import_pipeline</t>
        </is>
      </c>
      <c r="D836" s="3" t="inlineStr">
        <is>
          <t>TestImportPipeline</t>
        </is>
      </c>
      <c r="E836" s="3" t="inlineStr">
        <is>
          <t>test_skip_handling_leaves_the_existing_record_alone</t>
        </is>
      </c>
      <c r="F836" s="3" t="inlineStr">
        <is>
          <t>whole class</t>
        </is>
      </c>
      <c r="G836" s="2" t="n">
        <v>9</v>
      </c>
      <c r="H836" s="2" t="n">
        <v>9</v>
      </c>
      <c r="I836" s="3" t="inlineStr">
        <is>
          <t>consilium/consilium_core/tests/test_import_pipeline.py</t>
        </is>
      </c>
    </row>
    <row r="837" ht="30" customHeight="1">
      <c r="A837" s="2" t="inlineStr">
        <is>
          <t>P-20</t>
        </is>
      </c>
      <c r="B837" s="3" t="inlineStr">
        <is>
          <t>POL</t>
        </is>
      </c>
      <c r="C837" s="3" t="inlineStr">
        <is>
          <t>consilium_core.tests.test_import_pipeline</t>
        </is>
      </c>
      <c r="D837" s="3" t="inlineStr">
        <is>
          <t>TestImportPipeline</t>
        </is>
      </c>
      <c r="E837" s="3" t="inlineStr">
        <is>
          <t>test_a_committed_batch_cannot_be_committed_again</t>
        </is>
      </c>
      <c r="F837" s="3" t="inlineStr">
        <is>
          <t>whole class</t>
        </is>
      </c>
      <c r="G837" s="2" t="n">
        <v>9</v>
      </c>
      <c r="H837" s="2" t="n">
        <v>9</v>
      </c>
      <c r="I837" s="3" t="inlineStr">
        <is>
          <t>consilium/consilium_core/tests/test_import_pipeline.py</t>
        </is>
      </c>
    </row>
    <row r="838" ht="30" customHeight="1">
      <c r="A838" s="2" t="inlineStr">
        <is>
          <t>P-20</t>
        </is>
      </c>
      <c r="B838" s="3" t="inlineStr">
        <is>
          <t>POL</t>
        </is>
      </c>
      <c r="C838" s="3" t="inlineStr">
        <is>
          <t>consilium_core.tests.test_import_pipeline</t>
        </is>
      </c>
      <c r="D838" s="3" t="inlineStr">
        <is>
          <t>TestImportPipeline</t>
        </is>
      </c>
      <c r="E838" s="3" t="inlineStr">
        <is>
          <t>test_a_mapping_onto_a_field_that_does_not_exist_is_refused</t>
        </is>
      </c>
      <c r="F838" s="3" t="inlineStr">
        <is>
          <t>whole class</t>
        </is>
      </c>
      <c r="G838" s="2" t="n">
        <v>9</v>
      </c>
      <c r="H838" s="2" t="n">
        <v>9</v>
      </c>
      <c r="I838" s="3" t="inlineStr">
        <is>
          <t>consilium/consilium_core/tests/test_import_pipeline.py</t>
        </is>
      </c>
    </row>
    <row r="839" ht="30" customHeight="1">
      <c r="A839" s="2" t="inlineStr">
        <is>
          <t>P-20</t>
        </is>
      </c>
      <c r="B839" s="3" t="inlineStr">
        <is>
          <t>POL</t>
        </is>
      </c>
      <c r="C839" s="3" t="inlineStr">
        <is>
          <t>consilium_core.tests.test_import_pipeline</t>
        </is>
      </c>
      <c r="D839" s="3" t="inlineStr">
        <is>
          <t>TestImportPipeline</t>
        </is>
      </c>
      <c r="E839" s="3" t="inlineStr">
        <is>
          <t>test_an_export_batch_records_what_left</t>
        </is>
      </c>
      <c r="F839" s="3" t="inlineStr">
        <is>
          <t>whole class</t>
        </is>
      </c>
      <c r="G839" s="2" t="n">
        <v>9</v>
      </c>
      <c r="H839" s="2" t="n">
        <v>9</v>
      </c>
      <c r="I839" s="3" t="inlineStr">
        <is>
          <t>consilium/consilium_core/tests/test_import_pipeline.py</t>
        </is>
      </c>
    </row>
    <row r="840" ht="30" customHeight="1">
      <c r="A840" s="2" t="inlineStr">
        <is>
          <t>P-20</t>
        </is>
      </c>
      <c r="B840" s="3" t="inlineStr">
        <is>
          <t>POL</t>
        </is>
      </c>
      <c r="C840" s="3" t="inlineStr">
        <is>
          <t>consilium_core.tests.test_imports_portal</t>
        </is>
      </c>
      <c r="D840" s="3" t="inlineStr">
        <is>
          <t>TestUpload</t>
        </is>
      </c>
      <c r="E840" s="3" t="inlineStr">
        <is>
          <t>test_an_upload_is_kept_hashed_and_validated_without_writing_anything</t>
        </is>
      </c>
      <c r="F840" s="3" t="inlineStr">
        <is>
          <t>whole class</t>
        </is>
      </c>
      <c r="G840" s="2" t="n">
        <v>5</v>
      </c>
      <c r="H840" s="2" t="n">
        <v>5</v>
      </c>
      <c r="I840" s="3" t="inlineStr">
        <is>
          <t>consilium/consilium_core/tests/test_imports_portal.py</t>
        </is>
      </c>
    </row>
    <row r="841" ht="30" customHeight="1">
      <c r="A841" s="2" t="inlineStr">
        <is>
          <t>P-20</t>
        </is>
      </c>
      <c r="B841" s="3" t="inlineStr">
        <is>
          <t>POL</t>
        </is>
      </c>
      <c r="C841" s="3" t="inlineStr">
        <is>
          <t>consilium_core.tests.test_imports_portal</t>
        </is>
      </c>
      <c r="D841" s="3" t="inlineStr">
        <is>
          <t>TestUpload</t>
        </is>
      </c>
      <c r="E841" s="3" t="inlineStr">
        <is>
          <t>test_only_those_who_may_create_a_batch_may_upload</t>
        </is>
      </c>
      <c r="F841" s="3" t="inlineStr">
        <is>
          <t>whole class</t>
        </is>
      </c>
      <c r="G841" s="2" t="n">
        <v>5</v>
      </c>
      <c r="H841" s="2" t="n">
        <v>5</v>
      </c>
      <c r="I841" s="3" t="inlineStr">
        <is>
          <t>consilium/consilium_core/tests/test_imports_portal.py</t>
        </is>
      </c>
    </row>
    <row r="842" ht="30" customHeight="1">
      <c r="A842" s="2" t="inlineStr">
        <is>
          <t>P-20</t>
        </is>
      </c>
      <c r="B842" s="3" t="inlineStr">
        <is>
          <t>POL</t>
        </is>
      </c>
      <c r="C842" s="3" t="inlineStr">
        <is>
          <t>consilium_core.tests.test_imports_portal</t>
        </is>
      </c>
      <c r="D842" s="3" t="inlineStr">
        <is>
          <t>TestUpload</t>
        </is>
      </c>
      <c r="E842" s="3" t="inlineStr">
        <is>
          <t>test_bad_files_are_refused</t>
        </is>
      </c>
      <c r="F842" s="3" t="inlineStr">
        <is>
          <t>whole class</t>
        </is>
      </c>
      <c r="G842" s="2" t="n">
        <v>5</v>
      </c>
      <c r="H842" s="2" t="n">
        <v>5</v>
      </c>
      <c r="I842" s="3" t="inlineStr">
        <is>
          <t>consilium/consilium_core/tests/test_imports_portal.py</t>
        </is>
      </c>
    </row>
    <row r="843" ht="30" customHeight="1">
      <c r="A843" s="2" t="inlineStr">
        <is>
          <t>P-20</t>
        </is>
      </c>
      <c r="B843" s="3" t="inlineStr">
        <is>
          <t>POL</t>
        </is>
      </c>
      <c r="C843" s="3" t="inlineStr">
        <is>
          <t>consilium_core.tests.test_imports_portal</t>
        </is>
      </c>
      <c r="D843" s="3" t="inlineStr">
        <is>
          <t>TestUpload</t>
        </is>
      </c>
      <c r="E843" s="3" t="inlineStr">
        <is>
          <t>test_a_batch_level_rejection_keeps_the_batch_and_its_reason</t>
        </is>
      </c>
      <c r="F843" s="3" t="inlineStr">
        <is>
          <t>whole class</t>
        </is>
      </c>
      <c r="G843" s="2" t="n">
        <v>5</v>
      </c>
      <c r="H843" s="2" t="n">
        <v>5</v>
      </c>
      <c r="I843" s="3" t="inlineStr">
        <is>
          <t>consilium/consilium_core/tests/test_imports_portal.py</t>
        </is>
      </c>
    </row>
    <row r="844" ht="30" customHeight="1">
      <c r="A844" s="2" t="inlineStr">
        <is>
          <t>P-20</t>
        </is>
      </c>
      <c r="B844" s="3" t="inlineStr">
        <is>
          <t>POL</t>
        </is>
      </c>
      <c r="C844" s="3" t="inlineStr">
        <is>
          <t>consilium_core.tests.test_imports_portal</t>
        </is>
      </c>
      <c r="D844" s="3" t="inlineStr">
        <is>
          <t>TestUpload</t>
        </is>
      </c>
      <c r="E844" s="3" t="inlineStr">
        <is>
          <t>test_the_profiles_list_says_which_columns_a_file_needs</t>
        </is>
      </c>
      <c r="F844" s="3" t="inlineStr">
        <is>
          <t>whole class</t>
        </is>
      </c>
      <c r="G844" s="2" t="n">
        <v>5</v>
      </c>
      <c r="H844" s="2" t="n">
        <v>5</v>
      </c>
      <c r="I844" s="3" t="inlineStr">
        <is>
          <t>consilium/consilium_core/tests/test_imports_portal.py</t>
        </is>
      </c>
    </row>
    <row r="845" ht="30" customHeight="1">
      <c r="A845" s="2" t="inlineStr">
        <is>
          <t>P-20</t>
        </is>
      </c>
      <c r="B845" s="3" t="inlineStr">
        <is>
          <t>POL</t>
        </is>
      </c>
      <c r="C845" s="3" t="inlineStr">
        <is>
          <t>consilium_core.tests.test_imports_portal</t>
        </is>
      </c>
      <c r="D845" s="3" t="inlineStr">
        <is>
          <t>TestReview</t>
        </is>
      </c>
      <c r="E845" s="3" t="inlineStr">
        <is>
          <t>test_review_is_read_with_the_batch_permission</t>
        </is>
      </c>
      <c r="F845" s="3" t="inlineStr">
        <is>
          <t>whole class</t>
        </is>
      </c>
      <c r="G845" s="2" t="n">
        <v>7</v>
      </c>
      <c r="H845" s="2" t="n">
        <v>7</v>
      </c>
      <c r="I845" s="3" t="inlineStr">
        <is>
          <t>consilium/consilium_core/tests/test_imports_portal.py</t>
        </is>
      </c>
    </row>
    <row r="846" ht="30" customHeight="1">
      <c r="A846" s="2" t="inlineStr">
        <is>
          <t>P-20</t>
        </is>
      </c>
      <c r="B846" s="3" t="inlineStr">
        <is>
          <t>POL</t>
        </is>
      </c>
      <c r="C846" s="3" t="inlineStr">
        <is>
          <t>consilium_core.tests.test_imports_portal</t>
        </is>
      </c>
      <c r="D846" s="3" t="inlineStr">
        <is>
          <t>TestReview</t>
        </is>
      </c>
      <c r="E846" s="3" t="inlineStr">
        <is>
          <t>test_a_row_left_out_is_not_committed_and_the_rest_are</t>
        </is>
      </c>
      <c r="F846" s="3" t="inlineStr">
        <is>
          <t>whole class</t>
        </is>
      </c>
      <c r="G846" s="2" t="n">
        <v>7</v>
      </c>
      <c r="H846" s="2" t="n">
        <v>7</v>
      </c>
      <c r="I846" s="3" t="inlineStr">
        <is>
          <t>consilium/consilium_core/tests/test_imports_portal.py</t>
        </is>
      </c>
    </row>
    <row r="847" ht="30" customHeight="1">
      <c r="A847" s="2" t="inlineStr">
        <is>
          <t>P-20</t>
        </is>
      </c>
      <c r="B847" s="3" t="inlineStr">
        <is>
          <t>POL</t>
        </is>
      </c>
      <c r="C847" s="3" t="inlineStr">
        <is>
          <t>consilium_core.tests.test_imports_portal</t>
        </is>
      </c>
      <c r="D847" s="3" t="inlineStr">
        <is>
          <t>TestReview</t>
        </is>
      </c>
      <c r="E847" s="3" t="inlineStr">
        <is>
          <t>test_validating_again_restores_a_row_left_out</t>
        </is>
      </c>
      <c r="F847" s="3" t="inlineStr">
        <is>
          <t>whole class</t>
        </is>
      </c>
      <c r="G847" s="2" t="n">
        <v>7</v>
      </c>
      <c r="H847" s="2" t="n">
        <v>7</v>
      </c>
      <c r="I847" s="3" t="inlineStr">
        <is>
          <t>consilium/consilium_core/tests/test_imports_portal.py</t>
        </is>
      </c>
    </row>
    <row r="848" ht="30" customHeight="1">
      <c r="A848" s="2" t="inlineStr">
        <is>
          <t>P-20</t>
        </is>
      </c>
      <c r="B848" s="3" t="inlineStr">
        <is>
          <t>POL</t>
        </is>
      </c>
      <c r="C848" s="3" t="inlineStr">
        <is>
          <t>consilium_core.tests.test_imports_portal</t>
        </is>
      </c>
      <c r="D848" s="3" t="inlineStr">
        <is>
          <t>TestReview</t>
        </is>
      </c>
      <c r="E848" s="3" t="inlineStr">
        <is>
          <t>test_commit_needs_the_right_to_create_what_the_batch_writes</t>
        </is>
      </c>
      <c r="F848" s="3" t="inlineStr">
        <is>
          <t>whole class</t>
        </is>
      </c>
      <c r="G848" s="2" t="n">
        <v>7</v>
      </c>
      <c r="H848" s="2" t="n">
        <v>7</v>
      </c>
      <c r="I848" s="3" t="inlineStr">
        <is>
          <t>consilium/consilium_core/tests/test_imports_portal.py</t>
        </is>
      </c>
    </row>
    <row r="849" ht="30" customHeight="1">
      <c r="A849" s="2" t="inlineStr">
        <is>
          <t>P-20</t>
        </is>
      </c>
      <c r="B849" s="3" t="inlineStr">
        <is>
          <t>POL</t>
        </is>
      </c>
      <c r="C849" s="3" t="inlineStr">
        <is>
          <t>consilium_core.tests.test_imports_portal</t>
        </is>
      </c>
      <c r="D849" s="3" t="inlineStr">
        <is>
          <t>TestReview</t>
        </is>
      </c>
      <c r="E849" s="3" t="inlineStr">
        <is>
          <t>test_those_who_may_only_read_cannot_act</t>
        </is>
      </c>
      <c r="F849" s="3" t="inlineStr">
        <is>
          <t>whole class</t>
        </is>
      </c>
      <c r="G849" s="2" t="n">
        <v>7</v>
      </c>
      <c r="H849" s="2" t="n">
        <v>7</v>
      </c>
      <c r="I849" s="3" t="inlineStr">
        <is>
          <t>consilium/consilium_core/tests/test_imports_portal.py</t>
        </is>
      </c>
    </row>
    <row r="850" ht="30" customHeight="1">
      <c r="A850" s="2" t="inlineStr">
        <is>
          <t>P-20</t>
        </is>
      </c>
      <c r="B850" s="3" t="inlineStr">
        <is>
          <t>POL</t>
        </is>
      </c>
      <c r="C850" s="3" t="inlineStr">
        <is>
          <t>consilium_core.tests.test_imports_portal</t>
        </is>
      </c>
      <c r="D850" s="3" t="inlineStr">
        <is>
          <t>TestReview</t>
        </is>
      </c>
      <c r="E850" s="3" t="inlineStr">
        <is>
          <t>test_a_batch_with_nothing_committable_is_not_committed</t>
        </is>
      </c>
      <c r="F850" s="3" t="inlineStr">
        <is>
          <t>whole class</t>
        </is>
      </c>
      <c r="G850" s="2" t="n">
        <v>7</v>
      </c>
      <c r="H850" s="2" t="n">
        <v>7</v>
      </c>
      <c r="I850" s="3" t="inlineStr">
        <is>
          <t>consilium/consilium_core/tests/test_imports_portal.py</t>
        </is>
      </c>
    </row>
    <row r="851" ht="30" customHeight="1">
      <c r="A851" s="2" t="inlineStr">
        <is>
          <t>P-20</t>
        </is>
      </c>
      <c r="B851" s="3" t="inlineStr">
        <is>
          <t>POL</t>
        </is>
      </c>
      <c r="C851" s="3" t="inlineStr">
        <is>
          <t>consilium_core.tests.test_imports_portal</t>
        </is>
      </c>
      <c r="D851" s="3" t="inlineStr">
        <is>
          <t>TestReview</t>
        </is>
      </c>
      <c r="E851" s="3" t="inlineStr">
        <is>
          <t>test_a_module_preparer_runs_before_the_commit</t>
        </is>
      </c>
      <c r="F851" s="3" t="inlineStr">
        <is>
          <t>whole class</t>
        </is>
      </c>
      <c r="G851" s="2" t="n">
        <v>7</v>
      </c>
      <c r="H851" s="2" t="n">
        <v>7</v>
      </c>
      <c r="I851" s="3" t="inlineStr">
        <is>
          <t>consilium/consilium_core/tests/test_imports_portal.py</t>
        </is>
      </c>
    </row>
    <row r="852" ht="30" customHeight="1">
      <c r="A852" s="2" t="inlineStr">
        <is>
          <t>P-20</t>
        </is>
      </c>
      <c r="B852" s="3" t="inlineStr">
        <is>
          <t>POL</t>
        </is>
      </c>
      <c r="C852" s="3" t="inlineStr">
        <is>
          <t>consilium_core.tests.test_imports_portal</t>
        </is>
      </c>
      <c r="D852" s="3" t="inlineStr">
        <is>
          <t>TestDiscard</t>
        </is>
      </c>
      <c r="E852" s="3" t="inlineStr">
        <is>
          <t>test_a_discarded_batch_writes_nothing_and_keeps_its_reason</t>
        </is>
      </c>
      <c r="F852" s="3" t="inlineStr">
        <is>
          <t>whole class</t>
        </is>
      </c>
      <c r="G852" s="2" t="n">
        <v>1</v>
      </c>
      <c r="H852" s="2" t="n">
        <v>1</v>
      </c>
      <c r="I852" s="3" t="inlineStr">
        <is>
          <t>consilium/consilium_core/tests/test_imports_portal.py</t>
        </is>
      </c>
    </row>
    <row r="853" ht="30" customHeight="1">
      <c r="A853" s="2" t="inlineStr">
        <is>
          <t>P-20</t>
        </is>
      </c>
      <c r="B853" s="3" t="inlineStr">
        <is>
          <t>POL</t>
        </is>
      </c>
      <c r="C853" s="3" t="inlineStr">
        <is>
          <t>consilium_core.tests.test_imports_portal</t>
        </is>
      </c>
      <c r="D853" s="3" t="inlineStr">
        <is>
          <t>TestMethods</t>
        </is>
      </c>
      <c r="E853" s="3" t="inlineStr">
        <is>
          <t>test_acting_endpoints_accept_post_only</t>
        </is>
      </c>
      <c r="F853" s="3" t="inlineStr">
        <is>
          <t>whole class</t>
        </is>
      </c>
      <c r="G853" s="2" t="n">
        <v>1</v>
      </c>
      <c r="H853" s="2" t="n">
        <v>1</v>
      </c>
      <c r="I853" s="3" t="inlineStr">
        <is>
          <t>consilium/consilium_core/tests/test_imports_portal.py</t>
        </is>
      </c>
    </row>
    <row r="854" ht="17" customHeight="1">
      <c r="A854" s="2" t="inlineStr">
        <is>
          <t>P-20</t>
        </is>
      </c>
      <c r="B854" s="3" t="inlineStr">
        <is>
          <t>POL</t>
        </is>
      </c>
      <c r="C854" s="3" t="inlineStr">
        <is>
          <t>policy.tests.test_wave3</t>
        </is>
      </c>
      <c r="D854" s="3" t="inlineStr">
        <is>
          <t>TestRegulatoryChangeImport</t>
        </is>
      </c>
      <c r="E854" s="3" t="inlineStr">
        <is>
          <t>test_the_profile_is_seeded_and_registered</t>
        </is>
      </c>
      <c r="F854" s="3" t="inlineStr">
        <is>
          <t>whole class</t>
        </is>
      </c>
      <c r="G854" s="2" t="n">
        <v>2</v>
      </c>
      <c r="H854" s="2" t="n">
        <v>2</v>
      </c>
      <c r="I854" s="3" t="inlineStr">
        <is>
          <t>consilium/policy/tests/test_wave3.py</t>
        </is>
      </c>
    </row>
    <row r="855" ht="30" customHeight="1">
      <c r="A855" s="2" t="inlineStr">
        <is>
          <t>P-20</t>
        </is>
      </c>
      <c r="B855" s="3" t="inlineStr">
        <is>
          <t>POL</t>
        </is>
      </c>
      <c r="C855" s="3" t="inlineStr">
        <is>
          <t>policy.tests.test_wave3</t>
        </is>
      </c>
      <c r="D855" s="3" t="inlineStr">
        <is>
          <t>TestRegulatoryChangeImport</t>
        </is>
      </c>
      <c r="E855" s="3" t="inlineStr">
        <is>
          <t>test_a_change_file_updates_what_changed_leaves_blanks_alone_and_tells_the_citers</t>
        </is>
      </c>
      <c r="F855" s="3" t="inlineStr">
        <is>
          <t>whole class</t>
        </is>
      </c>
      <c r="G855" s="2" t="n">
        <v>2</v>
      </c>
      <c r="H855" s="2" t="n">
        <v>2</v>
      </c>
      <c r="I855" s="3" t="inlineStr">
        <is>
          <t>consilium/policy/tests/test_wave3.py</t>
        </is>
      </c>
    </row>
    <row r="856" ht="30" customHeight="1">
      <c r="A856" s="2" t="inlineStr">
        <is>
          <t>P-21</t>
        </is>
      </c>
      <c r="B856" s="3" t="inlineStr">
        <is>
          <t>POL</t>
        </is>
      </c>
      <c r="C856" s="3" t="inlineStr">
        <is>
          <t>policy.tests.test_repository</t>
        </is>
      </c>
      <c r="D856" s="3" t="inlineStr">
        <is>
          <t>TestApplicability</t>
        </is>
      </c>
      <c r="E856" s="3" t="inlineStr">
        <is>
          <t>test_applicability_covers_units_entities_jurisdictions_and_roles</t>
        </is>
      </c>
      <c r="F856" s="3" t="inlineStr">
        <is>
          <t>whole class</t>
        </is>
      </c>
      <c r="G856" s="2" t="n">
        <v>8</v>
      </c>
      <c r="H856" s="2" t="n">
        <v>8</v>
      </c>
      <c r="I856" s="3" t="inlineStr">
        <is>
          <t>consilium/policy/tests/test_repository.py</t>
        </is>
      </c>
    </row>
    <row r="857" ht="17" customHeight="1">
      <c r="A857" s="2" t="inlineStr">
        <is>
          <t>P-21</t>
        </is>
      </c>
      <c r="B857" s="3" t="inlineStr">
        <is>
          <t>POL</t>
        </is>
      </c>
      <c r="C857" s="3" t="inlineStr">
        <is>
          <t>policy.tests.test_repository</t>
        </is>
      </c>
      <c r="D857" s="3" t="inlineStr">
        <is>
          <t>TestApplicability</t>
        </is>
      </c>
      <c r="E857" s="3" t="inlineStr">
        <is>
          <t>test_a_scope_naming_a_record_must_name_one</t>
        </is>
      </c>
      <c r="F857" s="3" t="inlineStr">
        <is>
          <t>whole class</t>
        </is>
      </c>
      <c r="G857" s="2" t="n">
        <v>8</v>
      </c>
      <c r="H857" s="2" t="n">
        <v>8</v>
      </c>
      <c r="I857" s="3" t="inlineStr">
        <is>
          <t>consilium/policy/tests/test_repository.py</t>
        </is>
      </c>
    </row>
    <row r="858" ht="17" customHeight="1">
      <c r="A858" s="2" t="inlineStr">
        <is>
          <t>P-21</t>
        </is>
      </c>
      <c r="B858" s="3" t="inlineStr">
        <is>
          <t>POL</t>
        </is>
      </c>
      <c r="C858" s="3" t="inlineStr">
        <is>
          <t>policy.tests.test_repository</t>
        </is>
      </c>
      <c r="D858" s="3" t="inlineStr">
        <is>
          <t>TestApplicability</t>
        </is>
      </c>
      <c r="E858" s="3" t="inlineStr">
        <is>
          <t>test_affected_parties_derive_from_applicability</t>
        </is>
      </c>
      <c r="F858" s="3" t="inlineStr">
        <is>
          <t>whole class</t>
        </is>
      </c>
      <c r="G858" s="2" t="n">
        <v>8</v>
      </c>
      <c r="H858" s="2" t="n">
        <v>8</v>
      </c>
      <c r="I858" s="3" t="inlineStr">
        <is>
          <t>consilium/policy/tests/test_repository.py</t>
        </is>
      </c>
    </row>
    <row r="859" ht="17" customHeight="1">
      <c r="A859" s="2" t="inlineStr">
        <is>
          <t>P-21</t>
        </is>
      </c>
      <c r="B859" s="3" t="inlineStr">
        <is>
          <t>POL</t>
        </is>
      </c>
      <c r="C859" s="3" t="inlineStr">
        <is>
          <t>policy.tests.test_repository</t>
        </is>
      </c>
      <c r="D859" s="3" t="inlineStr">
        <is>
          <t>TestApplicability</t>
        </is>
      </c>
      <c r="E859" s="3" t="inlineStr">
        <is>
          <t>test_a_role_scope_reaches_the_holders_of_that_role</t>
        </is>
      </c>
      <c r="F859" s="3" t="inlineStr">
        <is>
          <t>whole class</t>
        </is>
      </c>
      <c r="G859" s="2" t="n">
        <v>8</v>
      </c>
      <c r="H859" s="2" t="n">
        <v>8</v>
      </c>
      <c r="I859" s="3" t="inlineStr">
        <is>
          <t>consilium/policy/tests/test_repository.py</t>
        </is>
      </c>
    </row>
    <row r="860" ht="30" customHeight="1">
      <c r="A860" s="2" t="inlineStr">
        <is>
          <t>P-21</t>
        </is>
      </c>
      <c r="B860" s="3" t="inlineStr">
        <is>
          <t>POL</t>
        </is>
      </c>
      <c r="C860" s="3" t="inlineStr">
        <is>
          <t>policy.tests.test_repository</t>
        </is>
      </c>
      <c r="D860" s="3" t="inlineStr">
        <is>
          <t>TestApplicability</t>
        </is>
      </c>
      <c r="E860" s="3" t="inlineStr">
        <is>
          <t>test_an_authorised_exemption_removes_a_scope_from_notification</t>
        </is>
      </c>
      <c r="F860" s="3" t="inlineStr">
        <is>
          <t>whole class</t>
        </is>
      </c>
      <c r="G860" s="2" t="n">
        <v>8</v>
      </c>
      <c r="H860" s="2" t="n">
        <v>8</v>
      </c>
      <c r="I860" s="3" t="inlineStr">
        <is>
          <t>consilium/policy/tests/test_repository.py</t>
        </is>
      </c>
    </row>
    <row r="861" ht="17" customHeight="1">
      <c r="A861" s="2" t="inlineStr">
        <is>
          <t>P-21</t>
        </is>
      </c>
      <c r="B861" s="3" t="inlineStr">
        <is>
          <t>POL</t>
        </is>
      </c>
      <c r="C861" s="3" t="inlineStr">
        <is>
          <t>policy.tests.test_repository</t>
        </is>
      </c>
      <c r="D861" s="3" t="inlineStr">
        <is>
          <t>TestApplicability</t>
        </is>
      </c>
      <c r="E861" s="3" t="inlineStr">
        <is>
          <t>test_an_exemption_in_force_must_name_its_authoriser</t>
        </is>
      </c>
      <c r="F861" s="3" t="inlineStr">
        <is>
          <t>whole class</t>
        </is>
      </c>
      <c r="G861" s="2" t="n">
        <v>8</v>
      </c>
      <c r="H861" s="2" t="n">
        <v>8</v>
      </c>
      <c r="I861" s="3" t="inlineStr">
        <is>
          <t>consilium/policy/tests/test_repository.py</t>
        </is>
      </c>
    </row>
    <row r="862" ht="17" customHeight="1">
      <c r="A862" s="2" t="inlineStr">
        <is>
          <t>P-21</t>
        </is>
      </c>
      <c r="B862" s="3" t="inlineStr">
        <is>
          <t>POL</t>
        </is>
      </c>
      <c r="C862" s="3" t="inlineStr">
        <is>
          <t>policy.tests.test_repository</t>
        </is>
      </c>
      <c r="D862" s="3" t="inlineStr">
        <is>
          <t>TestApplicability</t>
        </is>
      </c>
      <c r="E862" s="3" t="inlineStr">
        <is>
          <t>test_notification_records_a_dispatch_per_affected_party</t>
        </is>
      </c>
      <c r="F862" s="3" t="inlineStr">
        <is>
          <t>whole class</t>
        </is>
      </c>
      <c r="G862" s="2" t="n">
        <v>8</v>
      </c>
      <c r="H862" s="2" t="n">
        <v>8</v>
      </c>
      <c r="I862" s="3" t="inlineStr">
        <is>
          <t>consilium/policy/tests/test_repository.py</t>
        </is>
      </c>
    </row>
    <row r="863" ht="17" customHeight="1">
      <c r="A863" s="2" t="inlineStr">
        <is>
          <t>P-21</t>
        </is>
      </c>
      <c r="B863" s="3" t="inlineStr">
        <is>
          <t>POL</t>
        </is>
      </c>
      <c r="C863" s="3" t="inlineStr">
        <is>
          <t>policy.tests.test_repository</t>
        </is>
      </c>
      <c r="D863" s="3" t="inlineStr">
        <is>
          <t>TestApplicability</t>
        </is>
      </c>
      <c r="E863" s="3" t="inlineStr">
        <is>
          <t>test_a_scope_that_reaches_nobody_is_reported_not_hidden</t>
        </is>
      </c>
      <c r="F863" s="3" t="inlineStr">
        <is>
          <t>whole class</t>
        </is>
      </c>
      <c r="G863" s="2" t="n">
        <v>8</v>
      </c>
      <c r="H863" s="2" t="n">
        <v>8</v>
      </c>
      <c r="I863" s="3" t="inlineStr">
        <is>
          <t>consilium/policy/tests/test_repository.py</t>
        </is>
      </c>
    </row>
    <row r="864" ht="17" customHeight="1">
      <c r="A864" s="2" t="inlineStr">
        <is>
          <t>P-21</t>
        </is>
      </c>
      <c r="B864" s="3" t="inlineStr">
        <is>
          <t>POL</t>
        </is>
      </c>
      <c r="C864" s="3" t="inlineStr">
        <is>
          <t>policy.tests.test_entities</t>
        </is>
      </c>
      <c r="D864" s="3" t="inlineStr">
        <is>
          <t>TestExemptionLifecycle</t>
        </is>
      </c>
      <c r="E864" s="3" t="inlineStr">
        <is>
          <t>test_a_requested_exemption_is_not_yet_in_force</t>
        </is>
      </c>
      <c r="F864" s="3" t="inlineStr">
        <is>
          <t>whole class</t>
        </is>
      </c>
      <c r="G864" s="2" t="n">
        <v>5</v>
      </c>
      <c r="H864" s="2" t="n">
        <v>5</v>
      </c>
      <c r="I864" s="3" t="inlineStr">
        <is>
          <t>consilium/policy/tests/test_entities.py</t>
        </is>
      </c>
    </row>
    <row r="865" ht="30" customHeight="1">
      <c r="A865" s="2" t="inlineStr">
        <is>
          <t>P-21</t>
        </is>
      </c>
      <c r="B865" s="3" t="inlineStr">
        <is>
          <t>POL</t>
        </is>
      </c>
      <c r="C865" s="3" t="inlineStr">
        <is>
          <t>policy.tests.test_entities</t>
        </is>
      </c>
      <c r="D865" s="3" t="inlineStr">
        <is>
          <t>TestExemptionLifecycle</t>
        </is>
      </c>
      <c r="E865" s="3" t="inlineStr">
        <is>
          <t>test_authorising_puts_it_in_force_and_names_the_authoriser</t>
        </is>
      </c>
      <c r="F865" s="3" t="inlineStr">
        <is>
          <t>whole class</t>
        </is>
      </c>
      <c r="G865" s="2" t="n">
        <v>5</v>
      </c>
      <c r="H865" s="2" t="n">
        <v>5</v>
      </c>
      <c r="I865" s="3" t="inlineStr">
        <is>
          <t>consilium/policy/tests/test_entities.py</t>
        </is>
      </c>
    </row>
    <row r="866" ht="17" customHeight="1">
      <c r="A866" s="2" t="inlineStr">
        <is>
          <t>P-21</t>
        </is>
      </c>
      <c r="B866" s="3" t="inlineStr">
        <is>
          <t>POL</t>
        </is>
      </c>
      <c r="C866" s="3" t="inlineStr">
        <is>
          <t>policy.tests.test_entities</t>
        </is>
      </c>
      <c r="D866" s="3" t="inlineStr">
        <is>
          <t>TestExemptionLifecycle</t>
        </is>
      </c>
      <c r="E866" s="3" t="inlineStr">
        <is>
          <t>test_an_exemption_cannot_expire_before_it_begins</t>
        </is>
      </c>
      <c r="F866" s="3" t="inlineStr">
        <is>
          <t>whole class</t>
        </is>
      </c>
      <c r="G866" s="2" t="n">
        <v>5</v>
      </c>
      <c r="H866" s="2" t="n">
        <v>5</v>
      </c>
      <c r="I866" s="3" t="inlineStr">
        <is>
          <t>consilium/policy/tests/test_entities.py</t>
        </is>
      </c>
    </row>
    <row r="867" ht="30" customHeight="1">
      <c r="A867" s="2" t="inlineStr">
        <is>
          <t>P-21</t>
        </is>
      </c>
      <c r="B867" s="3" t="inlineStr">
        <is>
          <t>POL</t>
        </is>
      </c>
      <c r="C867" s="3" t="inlineStr">
        <is>
          <t>policy.tests.test_entities</t>
        </is>
      </c>
      <c r="D867" s="3" t="inlineStr">
        <is>
          <t>TestExemptionLifecycle</t>
        </is>
      </c>
      <c r="E867" s="3" t="inlineStr">
        <is>
          <t>test_an_expired_exemption_lapses_and_stops_excusing_the_scope</t>
        </is>
      </c>
      <c r="F867" s="3" t="inlineStr">
        <is>
          <t>whole class</t>
        </is>
      </c>
      <c r="G867" s="2" t="n">
        <v>5</v>
      </c>
      <c r="H867" s="2" t="n">
        <v>5</v>
      </c>
      <c r="I867" s="3" t="inlineStr">
        <is>
          <t>consilium/policy/tests/test_entities.py</t>
        </is>
      </c>
    </row>
    <row r="868" ht="17" customHeight="1">
      <c r="A868" s="2" t="inlineStr">
        <is>
          <t>P-21</t>
        </is>
      </c>
      <c r="B868" s="3" t="inlineStr">
        <is>
          <t>POL</t>
        </is>
      </c>
      <c r="C868" s="3" t="inlineStr">
        <is>
          <t>policy.tests.test_entities</t>
        </is>
      </c>
      <c r="D868" s="3" t="inlineStr">
        <is>
          <t>TestExemptionLifecycle</t>
        </is>
      </c>
      <c r="E868" s="3" t="inlineStr">
        <is>
          <t>test_a_reviewer_cannot_authorise_an_exemption</t>
        </is>
      </c>
      <c r="F868" s="3" t="inlineStr">
        <is>
          <t>whole class</t>
        </is>
      </c>
      <c r="G868" s="2" t="n">
        <v>5</v>
      </c>
      <c r="H868" s="2" t="n">
        <v>5</v>
      </c>
      <c r="I868" s="3" t="inlineStr">
        <is>
          <t>consilium/policy/tests/test_entities.py</t>
        </is>
      </c>
    </row>
    <row r="869" ht="17" customHeight="1">
      <c r="A869" s="2" t="inlineStr">
        <is>
          <t>P-21</t>
        </is>
      </c>
      <c r="B869" s="3" t="inlineStr">
        <is>
          <t>POL</t>
        </is>
      </c>
      <c r="C869" s="3" t="inlineStr">
        <is>
          <t>policy.tests.test_wave3</t>
        </is>
      </c>
      <c r="D869" s="3" t="inlineStr">
        <is>
          <t>TestChangeAndRetirement</t>
        </is>
      </c>
      <c r="E869" s="3" t="inlineStr">
        <is>
          <t>test_first_publication_is_not_announced_as_a_change</t>
        </is>
      </c>
      <c r="F869" s="3" t="inlineStr">
        <is>
          <t>whole class</t>
        </is>
      </c>
      <c r="G869" s="2" t="n">
        <v>6</v>
      </c>
      <c r="H869" s="2" t="n">
        <v>6</v>
      </c>
      <c r="I869" s="3" t="inlineStr">
        <is>
          <t>consilium/policy/tests/test_wave3.py</t>
        </is>
      </c>
    </row>
    <row r="870" ht="17" customHeight="1">
      <c r="A870" s="2" t="inlineStr">
        <is>
          <t>P-21</t>
        </is>
      </c>
      <c r="B870" s="3" t="inlineStr">
        <is>
          <t>POL</t>
        </is>
      </c>
      <c r="C870" s="3" t="inlineStr">
        <is>
          <t>policy.tests.test_wave3</t>
        </is>
      </c>
      <c r="D870" s="3" t="inlineStr">
        <is>
          <t>TestChangeAndRetirement</t>
        </is>
      </c>
      <c r="E870" s="3" t="inlineStr">
        <is>
          <t>test_a_new_version_in_force_is_announced_to_the_audience</t>
        </is>
      </c>
      <c r="F870" s="3" t="inlineStr">
        <is>
          <t>whole class</t>
        </is>
      </c>
      <c r="G870" s="2" t="n">
        <v>6</v>
      </c>
      <c r="H870" s="2" t="n">
        <v>6</v>
      </c>
      <c r="I870" s="3" t="inlineStr">
        <is>
          <t>consilium/policy/tests/test_wave3.py</t>
        </is>
      </c>
    </row>
    <row r="871" ht="30" customHeight="1">
      <c r="A871" s="2" t="inlineStr">
        <is>
          <t>P-21</t>
        </is>
      </c>
      <c r="B871" s="3" t="inlineStr">
        <is>
          <t>POL</t>
        </is>
      </c>
      <c r="C871" s="3" t="inlineStr">
        <is>
          <t>policy.tests.test_wave3</t>
        </is>
      </c>
      <c r="D871" s="3" t="inlineStr">
        <is>
          <t>TestChangeAndRetirement</t>
        </is>
      </c>
      <c r="E871" s="3" t="inlineStr">
        <is>
          <t>test_retirement_records_a_disposition_tells_the_audience_and_deletes_nothing</t>
        </is>
      </c>
      <c r="F871" s="3" t="inlineStr">
        <is>
          <t>whole class</t>
        </is>
      </c>
      <c r="G871" s="2" t="n">
        <v>6</v>
      </c>
      <c r="H871" s="2" t="n">
        <v>6</v>
      </c>
      <c r="I871" s="3" t="inlineStr">
        <is>
          <t>consilium/policy/tests/test_wave3.py</t>
        </is>
      </c>
    </row>
    <row r="872" ht="17" customHeight="1">
      <c r="A872" s="2" t="inlineStr">
        <is>
          <t>P-21</t>
        </is>
      </c>
      <c r="B872" s="3" t="inlineStr">
        <is>
          <t>POL</t>
        </is>
      </c>
      <c r="C872" s="3" t="inlineStr">
        <is>
          <t>policy.tests.test_wave3</t>
        </is>
      </c>
      <c r="D872" s="3" t="inlineStr">
        <is>
          <t>TestChangeAndRetirement</t>
        </is>
      </c>
      <c r="E872" s="3" t="inlineStr">
        <is>
          <t>test_retiring_from_the_portal_needs_a_reason</t>
        </is>
      </c>
      <c r="F872" s="3" t="inlineStr">
        <is>
          <t>whole class</t>
        </is>
      </c>
      <c r="G872" s="2" t="n">
        <v>6</v>
      </c>
      <c r="H872" s="2" t="n">
        <v>6</v>
      </c>
      <c r="I872" s="3" t="inlineStr">
        <is>
          <t>consilium/policy/tests/test_wave3.py</t>
        </is>
      </c>
    </row>
    <row r="873" ht="17" customHeight="1">
      <c r="A873" s="2" t="inlineStr">
        <is>
          <t>P-21</t>
        </is>
      </c>
      <c r="B873" s="3" t="inlineStr">
        <is>
          <t>POL</t>
        </is>
      </c>
      <c r="C873" s="3" t="inlineStr">
        <is>
          <t>policy.tests.test_wave3</t>
        </is>
      </c>
      <c r="D873" s="3" t="inlineStr">
        <is>
          <t>TestChangeAndRetirement</t>
        </is>
      </c>
      <c r="E873" s="3" t="inlineStr">
        <is>
          <t>test_a_disposition_cannot_be_rewritten</t>
        </is>
      </c>
      <c r="F873" s="3" t="inlineStr">
        <is>
          <t>whole class</t>
        </is>
      </c>
      <c r="G873" s="2" t="n">
        <v>6</v>
      </c>
      <c r="H873" s="2" t="n">
        <v>6</v>
      </c>
      <c r="I873" s="3" t="inlineStr">
        <is>
          <t>consilium/policy/tests/test_wave3.py</t>
        </is>
      </c>
    </row>
    <row r="874" ht="30" customHeight="1">
      <c r="A874" s="2" t="inlineStr">
        <is>
          <t>P-21</t>
        </is>
      </c>
      <c r="B874" s="3" t="inlineStr">
        <is>
          <t>POL</t>
        </is>
      </c>
      <c r="C874" s="3" t="inlineStr">
        <is>
          <t>policy.tests.test_wave3</t>
        </is>
      </c>
      <c r="D874" s="3" t="inlineStr">
        <is>
          <t>TestChangeAndRetirement</t>
        </is>
      </c>
      <c r="E874" s="3" t="inlineStr">
        <is>
          <t>test_change_and_retirement_requests_are_fulfilled_by_the_documents_movement</t>
        </is>
      </c>
      <c r="F874" s="3" t="inlineStr">
        <is>
          <t>whole class</t>
        </is>
      </c>
      <c r="G874" s="2" t="n">
        <v>6</v>
      </c>
      <c r="H874" s="2" t="n">
        <v>6</v>
      </c>
      <c r="I874" s="3" t="inlineStr">
        <is>
          <t>consilium/policy/tests/test_wave3.py</t>
        </is>
      </c>
    </row>
    <row r="875" ht="30" customHeight="1">
      <c r="A875" s="2" t="inlineStr">
        <is>
          <t>P-21</t>
        </is>
      </c>
      <c r="B875" s="3" t="inlineStr">
        <is>
          <t>POL</t>
        </is>
      </c>
      <c r="C875" s="3" t="inlineStr">
        <is>
          <t>policy.tests.test_portal_actions</t>
        </is>
      </c>
      <c r="D875" s="3" t="inlineStr">
        <is>
          <t>TestPublication</t>
        </is>
      </c>
      <c r="E875" s="3" t="inlineStr">
        <is>
          <t>test_the_office_records_a_publication_and_the_audience_is_told</t>
        </is>
      </c>
      <c r="F875" s="3" t="inlineStr">
        <is>
          <t>named method</t>
        </is>
      </c>
      <c r="G875" s="2" t="n"/>
      <c r="H875" s="2" t="n">
        <v>1</v>
      </c>
      <c r="I875" s="3" t="inlineStr">
        <is>
          <t>consilium/policy/tests/test_portal_actions.py</t>
        </is>
      </c>
    </row>
    <row r="876" ht="17" customHeight="1">
      <c r="A876" s="2" t="inlineStr">
        <is>
          <t>P-22</t>
        </is>
      </c>
      <c r="B876" s="3" t="inlineStr">
        <is>
          <t>POL</t>
        </is>
      </c>
      <c r="C876" s="3" t="inlineStr">
        <is>
          <t>policy.tests.test_monitoring</t>
        </is>
      </c>
      <c r="D876" s="3" t="inlineStr">
        <is>
          <t>TestViolations</t>
        </is>
      </c>
      <c r="E876" s="3" t="inlineStr">
        <is>
          <t>test_a_violation_is_open_until_it_is_resolved</t>
        </is>
      </c>
      <c r="F876" s="3" t="inlineStr">
        <is>
          <t>whole class</t>
        </is>
      </c>
      <c r="G876" s="2" t="n">
        <v>5</v>
      </c>
      <c r="H876" s="2" t="n">
        <v>5</v>
      </c>
      <c r="I876" s="3" t="inlineStr">
        <is>
          <t>consilium/policy/tests/test_monitoring.py</t>
        </is>
      </c>
    </row>
    <row r="877" ht="17" customHeight="1">
      <c r="A877" s="2" t="inlineStr">
        <is>
          <t>P-22</t>
        </is>
      </c>
      <c r="B877" s="3" t="inlineStr">
        <is>
          <t>POL</t>
        </is>
      </c>
      <c r="C877" s="3" t="inlineStr">
        <is>
          <t>policy.tests.test_monitoring</t>
        </is>
      </c>
      <c r="D877" s="3" t="inlineStr">
        <is>
          <t>TestViolations</t>
        </is>
      </c>
      <c r="E877" s="3" t="inlineStr">
        <is>
          <t>test_a_violation_can_be_linked_to_a_monitoring_result</t>
        </is>
      </c>
      <c r="F877" s="3" t="inlineStr">
        <is>
          <t>whole class</t>
        </is>
      </c>
      <c r="G877" s="2" t="n">
        <v>5</v>
      </c>
      <c r="H877" s="2" t="n">
        <v>5</v>
      </c>
      <c r="I877" s="3" t="inlineStr">
        <is>
          <t>consilium/policy/tests/test_monitoring.py</t>
        </is>
      </c>
    </row>
    <row r="878" ht="30" customHeight="1">
      <c r="A878" s="2" t="inlineStr">
        <is>
          <t>P-22</t>
        </is>
      </c>
      <c r="B878" s="3" t="inlineStr">
        <is>
          <t>POL</t>
        </is>
      </c>
      <c r="C878" s="3" t="inlineStr">
        <is>
          <t>policy.tests.test_monitoring</t>
        </is>
      </c>
      <c r="D878" s="3" t="inlineStr">
        <is>
          <t>TestViolations</t>
        </is>
      </c>
      <c r="E878" s="3" t="inlineStr">
        <is>
          <t>test_the_escalation_link_is_optional_and_does_not_require_that_module</t>
        </is>
      </c>
      <c r="F878" s="3" t="inlineStr">
        <is>
          <t>whole class</t>
        </is>
      </c>
      <c r="G878" s="2" t="n">
        <v>5</v>
      </c>
      <c r="H878" s="2" t="n">
        <v>5</v>
      </c>
      <c r="I878" s="3" t="inlineStr">
        <is>
          <t>consilium/policy/tests/test_monitoring.py</t>
        </is>
      </c>
    </row>
    <row r="879" ht="17" customHeight="1">
      <c r="A879" s="2" t="inlineStr">
        <is>
          <t>P-22</t>
        </is>
      </c>
      <c r="B879" s="3" t="inlineStr">
        <is>
          <t>POL</t>
        </is>
      </c>
      <c r="C879" s="3" t="inlineStr">
        <is>
          <t>policy.tests.test_monitoring</t>
        </is>
      </c>
      <c r="D879" s="3" t="inlineStr">
        <is>
          <t>TestViolations</t>
        </is>
      </c>
      <c r="E879" s="3" t="inlineStr">
        <is>
          <t>test_a_violation_needs_a_description</t>
        </is>
      </c>
      <c r="F879" s="3" t="inlineStr">
        <is>
          <t>whole class</t>
        </is>
      </c>
      <c r="G879" s="2" t="n">
        <v>5</v>
      </c>
      <c r="H879" s="2" t="n">
        <v>5</v>
      </c>
      <c r="I879" s="3" t="inlineStr">
        <is>
          <t>consilium/policy/tests/test_monitoring.py</t>
        </is>
      </c>
    </row>
    <row r="880" ht="17" customHeight="1">
      <c r="A880" s="2" t="inlineStr">
        <is>
          <t>P-22</t>
        </is>
      </c>
      <c r="B880" s="3" t="inlineStr">
        <is>
          <t>POL</t>
        </is>
      </c>
      <c r="C880" s="3" t="inlineStr">
        <is>
          <t>policy.tests.test_monitoring</t>
        </is>
      </c>
      <c r="D880" s="3" t="inlineStr">
        <is>
          <t>TestViolations</t>
        </is>
      </c>
      <c r="E880" s="3" t="inlineStr">
        <is>
          <t>test_a_reviewer_cannot_close_a_violation</t>
        </is>
      </c>
      <c r="F880" s="3" t="inlineStr">
        <is>
          <t>whole class</t>
        </is>
      </c>
      <c r="G880" s="2" t="n">
        <v>5</v>
      </c>
      <c r="H880" s="2" t="n">
        <v>5</v>
      </c>
      <c r="I880" s="3" t="inlineStr">
        <is>
          <t>consilium/policy/tests/test_monitoring.py</t>
        </is>
      </c>
    </row>
    <row r="881" ht="17" customHeight="1">
      <c r="A881" s="2" t="inlineStr">
        <is>
          <t>P-22</t>
        </is>
      </c>
      <c r="B881" s="3" t="inlineStr">
        <is>
          <t>POL</t>
        </is>
      </c>
      <c r="C881" s="3" t="inlineStr">
        <is>
          <t>policy.tests.test_wave3</t>
        </is>
      </c>
      <c r="D881" s="3" t="inlineStr">
        <is>
          <t>TestViolationTransitions</t>
        </is>
      </c>
      <c r="E881" s="3" t="inlineStr">
        <is>
          <t>test_a_violation_cannot_be_logged_closed</t>
        </is>
      </c>
      <c r="F881" s="3" t="inlineStr">
        <is>
          <t>whole class</t>
        </is>
      </c>
      <c r="G881" s="2" t="n">
        <v>3</v>
      </c>
      <c r="H881" s="2" t="n">
        <v>3</v>
      </c>
      <c r="I881" s="3" t="inlineStr">
        <is>
          <t>consilium/policy/tests/test_wave3.py</t>
        </is>
      </c>
    </row>
    <row r="882" ht="30" customHeight="1">
      <c r="A882" s="2" t="inlineStr">
        <is>
          <t>P-22</t>
        </is>
      </c>
      <c r="B882" s="3" t="inlineStr">
        <is>
          <t>POL</t>
        </is>
      </c>
      <c r="C882" s="3" t="inlineStr">
        <is>
          <t>policy.tests.test_wave3</t>
        </is>
      </c>
      <c r="D882" s="3" t="inlineStr">
        <is>
          <t>TestViolationTransitions</t>
        </is>
      </c>
      <c r="E882" s="3" t="inlineStr">
        <is>
          <t>test_closing_needs_a_note_and_a_closed_violation_stays_closed</t>
        </is>
      </c>
      <c r="F882" s="3" t="inlineStr">
        <is>
          <t>whole class</t>
        </is>
      </c>
      <c r="G882" s="2" t="n">
        <v>3</v>
      </c>
      <c r="H882" s="2" t="n">
        <v>3</v>
      </c>
      <c r="I882" s="3" t="inlineStr">
        <is>
          <t>consilium/policy/tests/test_wave3.py</t>
        </is>
      </c>
    </row>
    <row r="883" ht="30" customHeight="1">
      <c r="A883" s="2" t="inlineStr">
        <is>
          <t>P-22</t>
        </is>
      </c>
      <c r="B883" s="3" t="inlineStr">
        <is>
          <t>POL</t>
        </is>
      </c>
      <c r="C883" s="3" t="inlineStr">
        <is>
          <t>policy.tests.test_wave3</t>
        </is>
      </c>
      <c r="D883" s="3" t="inlineStr">
        <is>
          <t>TestViolationTransitions</t>
        </is>
      </c>
      <c r="E883" s="3" t="inlineStr">
        <is>
          <t>test_the_owner_moves_a_violation_from_the_portal_and_a_reviewer_may_not</t>
        </is>
      </c>
      <c r="F883" s="3" t="inlineStr">
        <is>
          <t>whole class</t>
        </is>
      </c>
      <c r="G883" s="2" t="n">
        <v>3</v>
      </c>
      <c r="H883" s="2" t="n">
        <v>3</v>
      </c>
      <c r="I883" s="3" t="inlineStr">
        <is>
          <t>consilium/policy/tests/test_wave3.py</t>
        </is>
      </c>
    </row>
    <row r="884" ht="17" customHeight="1">
      <c r="A884" s="2" t="inlineStr">
        <is>
          <t>P-22</t>
        </is>
      </c>
      <c r="B884" s="3" t="inlineStr">
        <is>
          <t>POL</t>
        </is>
      </c>
      <c r="C884" s="3" t="inlineStr">
        <is>
          <t>policy.tests.test_wave3</t>
        </is>
      </c>
      <c r="D884" s="3" t="inlineStr">
        <is>
          <t>TestReporting</t>
        </is>
      </c>
      <c r="E884" s="3" t="inlineStr">
        <is>
          <t>test_sections_count_only_what_the_viewer_may_read</t>
        </is>
      </c>
      <c r="F884" s="3" t="inlineStr">
        <is>
          <t>whole class</t>
        </is>
      </c>
      <c r="G884" s="2" t="n">
        <v>3</v>
      </c>
      <c r="H884" s="2" t="n">
        <v>3</v>
      </c>
      <c r="I884" s="3" t="inlineStr">
        <is>
          <t>consilium/policy/tests/test_wave3.py</t>
        </is>
      </c>
    </row>
    <row r="885" ht="17" customHeight="1">
      <c r="A885" s="2" t="inlineStr">
        <is>
          <t>P-22</t>
        </is>
      </c>
      <c r="B885" s="3" t="inlineStr">
        <is>
          <t>POL</t>
        </is>
      </c>
      <c r="C885" s="3" t="inlineStr">
        <is>
          <t>policy.tests.test_wave3</t>
        </is>
      </c>
      <c r="D885" s="3" t="inlineStr">
        <is>
          <t>TestReporting</t>
        </is>
      </c>
      <c r="E885" s="3" t="inlineStr">
        <is>
          <t>test_export_is_the_same_rows_as_a_file</t>
        </is>
      </c>
      <c r="F885" s="3" t="inlineStr">
        <is>
          <t>whole class</t>
        </is>
      </c>
      <c r="G885" s="2" t="n">
        <v>3</v>
      </c>
      <c r="H885" s="2" t="n">
        <v>3</v>
      </c>
      <c r="I885" s="3" t="inlineStr">
        <is>
          <t>consilium/policy/tests/test_wave3.py</t>
        </is>
      </c>
    </row>
    <row r="886" ht="17" customHeight="1">
      <c r="A886" s="2" t="inlineStr">
        <is>
          <t>P-22</t>
        </is>
      </c>
      <c r="B886" s="3" t="inlineStr">
        <is>
          <t>POL</t>
        </is>
      </c>
      <c r="C886" s="3" t="inlineStr">
        <is>
          <t>policy.tests.test_wave3</t>
        </is>
      </c>
      <c r="D886" s="3" t="inlineStr">
        <is>
          <t>TestReporting</t>
        </is>
      </c>
      <c r="E886" s="3" t="inlineStr">
        <is>
          <t>test_a_spreadsheet_formula_is_exported_as_text</t>
        </is>
      </c>
      <c r="F886" s="3" t="inlineStr">
        <is>
          <t>whole class</t>
        </is>
      </c>
      <c r="G886" s="2" t="n">
        <v>3</v>
      </c>
      <c r="H886" s="2" t="n">
        <v>3</v>
      </c>
      <c r="I886" s="3" t="inlineStr">
        <is>
          <t>consilium/policy/tests/test_wave3.py</t>
        </is>
      </c>
    </row>
    <row r="887" ht="17" customHeight="1">
      <c r="A887" s="2" t="inlineStr">
        <is>
          <t>P-22</t>
        </is>
      </c>
      <c r="B887" s="3" t="inlineStr">
        <is>
          <t>POL</t>
        </is>
      </c>
      <c r="C887" s="3" t="inlineStr">
        <is>
          <t>policy.tests.test_portal_actions</t>
        </is>
      </c>
      <c r="D887" s="3" t="inlineStr">
        <is>
          <t>TestMonitoring</t>
        </is>
      </c>
      <c r="E887" s="3" t="inlineStr">
        <is>
          <t>test_a_reviewer_logs_a_violation</t>
        </is>
      </c>
      <c r="F887" s="3" t="inlineStr">
        <is>
          <t>named method</t>
        </is>
      </c>
      <c r="G887" s="2" t="n"/>
      <c r="H887" s="2" t="n">
        <v>1</v>
      </c>
      <c r="I887" s="3" t="inlineStr">
        <is>
          <t>consilium/policy/tests/test_portal_actions.py</t>
        </is>
      </c>
    </row>
    <row r="888" ht="30" customHeight="1">
      <c r="A888" s="2" t="inlineStr">
        <is>
          <t>P-23</t>
        </is>
      </c>
      <c r="B888" s="3" t="inlineStr">
        <is>
          <t>POL</t>
        </is>
      </c>
      <c r="C888" s="3" t="inlineStr">
        <is>
          <t>policy.tests.test_monitoring</t>
        </is>
      </c>
      <c r="D888" s="3" t="inlineStr">
        <is>
          <t>TestMetadataMaintenance</t>
        </is>
      </c>
      <c r="E888" s="3" t="inlineStr">
        <is>
          <t>test_the_maintenance_view_lists_records_with_missing_required_metadata</t>
        </is>
      </c>
      <c r="F888" s="3" t="inlineStr">
        <is>
          <t>whole class</t>
        </is>
      </c>
      <c r="G888" s="2" t="n">
        <v>7</v>
      </c>
      <c r="H888" s="2" t="n">
        <v>7</v>
      </c>
      <c r="I888" s="3" t="inlineStr">
        <is>
          <t>consilium/policy/tests/test_monitoring.py</t>
        </is>
      </c>
    </row>
    <row r="889" ht="17" customHeight="1">
      <c r="A889" s="2" t="inlineStr">
        <is>
          <t>P-23</t>
        </is>
      </c>
      <c r="B889" s="3" t="inlineStr">
        <is>
          <t>POL</t>
        </is>
      </c>
      <c r="C889" s="3" t="inlineStr">
        <is>
          <t>policy.tests.test_monitoring</t>
        </is>
      </c>
      <c r="D889" s="3" t="inlineStr">
        <is>
          <t>TestMetadataMaintenance</t>
        </is>
      </c>
      <c r="E889" s="3" t="inlineStr">
        <is>
          <t>test_a_complete_record_is_not_listed</t>
        </is>
      </c>
      <c r="F889" s="3" t="inlineStr">
        <is>
          <t>whole class</t>
        </is>
      </c>
      <c r="G889" s="2" t="n">
        <v>7</v>
      </c>
      <c r="H889" s="2" t="n">
        <v>7</v>
      </c>
      <c r="I889" s="3" t="inlineStr">
        <is>
          <t>consilium/policy/tests/test_monitoring.py</t>
        </is>
      </c>
    </row>
    <row r="890" ht="17" customHeight="1">
      <c r="A890" s="2" t="inlineStr">
        <is>
          <t>P-23</t>
        </is>
      </c>
      <c r="B890" s="3" t="inlineStr">
        <is>
          <t>POL</t>
        </is>
      </c>
      <c r="C890" s="3" t="inlineStr">
        <is>
          <t>policy.tests.test_monitoring</t>
        </is>
      </c>
      <c r="D890" s="3" t="inlineStr">
        <is>
          <t>TestMetadataMaintenance</t>
        </is>
      </c>
      <c r="E890" s="3" t="inlineStr">
        <is>
          <t>test_a_record_can_be_corrected_in_place</t>
        </is>
      </c>
      <c r="F890" s="3" t="inlineStr">
        <is>
          <t>whole class</t>
        </is>
      </c>
      <c r="G890" s="2" t="n">
        <v>7</v>
      </c>
      <c r="H890" s="2" t="n">
        <v>7</v>
      </c>
      <c r="I890" s="3" t="inlineStr">
        <is>
          <t>consilium/policy/tests/test_monitoring.py</t>
        </is>
      </c>
    </row>
    <row r="891" ht="30" customHeight="1">
      <c r="A891" s="2" t="inlineStr">
        <is>
          <t>P-23</t>
        </is>
      </c>
      <c r="B891" s="3" t="inlineStr">
        <is>
          <t>POL</t>
        </is>
      </c>
      <c r="C891" s="3" t="inlineStr">
        <is>
          <t>policy.tests.test_monitoring</t>
        </is>
      </c>
      <c r="D891" s="3" t="inlineStr">
        <is>
          <t>TestMetadataMaintenance</t>
        </is>
      </c>
      <c r="E891" s="3" t="inlineStr">
        <is>
          <t>test_correcting_a_field_the_doctype_does_not_have_is_refused</t>
        </is>
      </c>
      <c r="F891" s="3" t="inlineStr">
        <is>
          <t>whole class</t>
        </is>
      </c>
      <c r="G891" s="2" t="n">
        <v>7</v>
      </c>
      <c r="H891" s="2" t="n">
        <v>7</v>
      </c>
      <c r="I891" s="3" t="inlineStr">
        <is>
          <t>consilium/policy/tests/test_monitoring.py</t>
        </is>
      </c>
    </row>
    <row r="892" ht="17" customHeight="1">
      <c r="A892" s="2" t="inlineStr">
        <is>
          <t>P-23</t>
        </is>
      </c>
      <c r="B892" s="3" t="inlineStr">
        <is>
          <t>POL</t>
        </is>
      </c>
      <c r="C892" s="3" t="inlineStr">
        <is>
          <t>policy.tests.test_monitoring</t>
        </is>
      </c>
      <c r="D892" s="3" t="inlineStr">
        <is>
          <t>TestMetadataMaintenance</t>
        </is>
      </c>
      <c r="E892" s="3" t="inlineStr">
        <is>
          <t>test_a_reviewer_cannot_correct_a_record</t>
        </is>
      </c>
      <c r="F892" s="3" t="inlineStr">
        <is>
          <t>whole class</t>
        </is>
      </c>
      <c r="G892" s="2" t="n">
        <v>7</v>
      </c>
      <c r="H892" s="2" t="n">
        <v>7</v>
      </c>
      <c r="I892" s="3" t="inlineStr">
        <is>
          <t>consilium/policy/tests/test_monitoring.py</t>
        </is>
      </c>
    </row>
    <row r="893" ht="17" customHeight="1">
      <c r="A893" s="2" t="inlineStr">
        <is>
          <t>P-23</t>
        </is>
      </c>
      <c r="B893" s="3" t="inlineStr">
        <is>
          <t>POL</t>
        </is>
      </c>
      <c r="C893" s="3" t="inlineStr">
        <is>
          <t>policy.tests.test_monitoring</t>
        </is>
      </c>
      <c r="D893" s="3" t="inlineStr">
        <is>
          <t>TestMetadataMaintenance</t>
        </is>
      </c>
      <c r="E893" s="3" t="inlineStr">
        <is>
          <t>test_a_parent_leaving_force_raises_a_task_on_its_children</t>
        </is>
      </c>
      <c r="F893" s="3" t="inlineStr">
        <is>
          <t>whole class</t>
        </is>
      </c>
      <c r="G893" s="2" t="n">
        <v>7</v>
      </c>
      <c r="H893" s="2" t="n">
        <v>7</v>
      </c>
      <c r="I893" s="3" t="inlineStr">
        <is>
          <t>consilium/policy/tests/test_monitoring.py</t>
        </is>
      </c>
    </row>
    <row r="894" ht="17" customHeight="1">
      <c r="A894" s="2" t="inlineStr">
        <is>
          <t>P-23</t>
        </is>
      </c>
      <c r="B894" s="3" t="inlineStr">
        <is>
          <t>POL</t>
        </is>
      </c>
      <c r="C894" s="3" t="inlineStr">
        <is>
          <t>policy.tests.test_monitoring</t>
        </is>
      </c>
      <c r="D894" s="3" t="inlineStr">
        <is>
          <t>TestMetadataMaintenance</t>
        </is>
      </c>
      <c r="E894" s="3" t="inlineStr">
        <is>
          <t>test_a_duplicate_open_task_is_not_raised_twice</t>
        </is>
      </c>
      <c r="F894" s="3" t="inlineStr">
        <is>
          <t>whole class</t>
        </is>
      </c>
      <c r="G894" s="2" t="n">
        <v>7</v>
      </c>
      <c r="H894" s="2" t="n">
        <v>7</v>
      </c>
      <c r="I894" s="3" t="inlineStr">
        <is>
          <t>consilium/policy/tests/test_monitoring.py</t>
        </is>
      </c>
    </row>
    <row r="895" ht="30" customHeight="1">
      <c r="A895" s="2" t="inlineStr">
        <is>
          <t>P-23</t>
        </is>
      </c>
      <c r="B895" s="3" t="inlineStr">
        <is>
          <t>POL</t>
        </is>
      </c>
      <c r="C895" s="3" t="inlineStr">
        <is>
          <t>policy.tests.test_wave3</t>
        </is>
      </c>
      <c r="D895" s="3" t="inlineStr">
        <is>
          <t>TestMetadataCorrection</t>
        </is>
      </c>
      <c r="E895" s="3" t="inlineStr">
        <is>
          <t>test_a_published_document_is_corrected_with_a_reason_and_no_new_version</t>
        </is>
      </c>
      <c r="F895" s="3" t="inlineStr">
        <is>
          <t>whole class</t>
        </is>
      </c>
      <c r="G895" s="2" t="n">
        <v>3</v>
      </c>
      <c r="H895" s="2" t="n">
        <v>3</v>
      </c>
      <c r="I895" s="3" t="inlineStr">
        <is>
          <t>consilium/policy/tests/test_wave3.py</t>
        </is>
      </c>
    </row>
    <row r="896" ht="17" customHeight="1">
      <c r="A896" s="2" t="inlineStr">
        <is>
          <t>P-23</t>
        </is>
      </c>
      <c r="B896" s="3" t="inlineStr">
        <is>
          <t>POL</t>
        </is>
      </c>
      <c r="C896" s="3" t="inlineStr">
        <is>
          <t>policy.tests.test_wave3</t>
        </is>
      </c>
      <c r="D896" s="3" t="inlineStr">
        <is>
          <t>TestMetadataCorrection</t>
        </is>
      </c>
      <c r="E896" s="3" t="inlineStr">
        <is>
          <t>test_content_and_lifecycle_are_not_correctable</t>
        </is>
      </c>
      <c r="F896" s="3" t="inlineStr">
        <is>
          <t>whole class</t>
        </is>
      </c>
      <c r="G896" s="2" t="n">
        <v>3</v>
      </c>
      <c r="H896" s="2" t="n">
        <v>3</v>
      </c>
      <c r="I896" s="3" t="inlineStr">
        <is>
          <t>consilium/policy/tests/test_wave3.py</t>
        </is>
      </c>
    </row>
    <row r="897" ht="17" customHeight="1">
      <c r="A897" s="2" t="inlineStr">
        <is>
          <t>P-23</t>
        </is>
      </c>
      <c r="B897" s="3" t="inlineStr">
        <is>
          <t>POL</t>
        </is>
      </c>
      <c r="C897" s="3" t="inlineStr">
        <is>
          <t>policy.tests.test_wave3</t>
        </is>
      </c>
      <c r="D897" s="3" t="inlineStr">
        <is>
          <t>TestMetadataCorrection</t>
        </is>
      </c>
      <c r="E897" s="3" t="inlineStr">
        <is>
          <t>test_a_reviewer_is_refused</t>
        </is>
      </c>
      <c r="F897" s="3" t="inlineStr">
        <is>
          <t>whole class</t>
        </is>
      </c>
      <c r="G897" s="2" t="n">
        <v>3</v>
      </c>
      <c r="H897" s="2" t="n">
        <v>3</v>
      </c>
      <c r="I897" s="3" t="inlineStr">
        <is>
          <t>consilium/policy/tests/test_wave3.py</t>
        </is>
      </c>
    </row>
    <row r="898" ht="30" customHeight="1">
      <c r="A898" s="2" t="inlineStr">
        <is>
          <t>P-23</t>
        </is>
      </c>
      <c r="B898" s="3" t="inlineStr">
        <is>
          <t>POL</t>
        </is>
      </c>
      <c r="C898" s="3" t="inlineStr">
        <is>
          <t>policy.tests.test_regressions</t>
        </is>
      </c>
      <c r="D898" s="3" t="inlineStr">
        <is>
          <t>TestReopening</t>
        </is>
      </c>
      <c r="E898" s="3" t="inlineStr">
        <is>
          <t>test_reopening_a_parent_does_not_tell_its_children_their_parent_retired</t>
        </is>
      </c>
      <c r="F898" s="3" t="inlineStr">
        <is>
          <t>named method</t>
        </is>
      </c>
      <c r="G898" s="2" t="n"/>
      <c r="H898" s="2" t="n">
        <v>1</v>
      </c>
      <c r="I898" s="3" t="inlineStr">
        <is>
          <t>consilium/policy/tests/test_regressions.py</t>
        </is>
      </c>
    </row>
    <row r="899" ht="17" customHeight="1">
      <c r="A899" s="2" t="inlineStr">
        <is>
          <t>P-23</t>
        </is>
      </c>
      <c r="B899" s="3" t="inlineStr">
        <is>
          <t>POL</t>
        </is>
      </c>
      <c r="C899" s="3" t="inlineStr">
        <is>
          <t>policy.tests.test_regressions</t>
        </is>
      </c>
      <c r="D899" s="3" t="inlineStr">
        <is>
          <t>TestReopening</t>
        </is>
      </c>
      <c r="E899" s="3" t="inlineStr">
        <is>
          <t>test_retiring_a_parent_still_tells_its_children</t>
        </is>
      </c>
      <c r="F899" s="3" t="inlineStr">
        <is>
          <t>named method</t>
        </is>
      </c>
      <c r="G899" s="2" t="n"/>
      <c r="H899" s="2" t="n">
        <v>1</v>
      </c>
      <c r="I899" s="3" t="inlineStr">
        <is>
          <t>consilium/policy/tests/test_regressions.py</t>
        </is>
      </c>
    </row>
    <row r="900" ht="17" customHeight="1">
      <c r="A900" s="2" t="inlineStr">
        <is>
          <t>P-23</t>
        </is>
      </c>
      <c r="B900" s="3" t="inlineStr">
        <is>
          <t>POL</t>
        </is>
      </c>
      <c r="C900" s="3" t="inlineStr">
        <is>
          <t>policy.tests.test_regressions</t>
        </is>
      </c>
      <c r="D900" s="3" t="inlineStr">
        <is>
          <t>TestMaintenanceView</t>
        </is>
      </c>
      <c r="E900" s="3" t="inlineStr">
        <is>
          <t>test_the_limit_bounds_what_is_returned</t>
        </is>
      </c>
      <c r="F900" s="3" t="inlineStr">
        <is>
          <t>whole class</t>
        </is>
      </c>
      <c r="G900" s="2" t="n">
        <v>1</v>
      </c>
      <c r="H900" s="2" t="n">
        <v>1</v>
      </c>
      <c r="I900" s="3" t="inlineStr">
        <is>
          <t>consilium/policy/tests/test_regressions.py</t>
        </is>
      </c>
    </row>
    <row r="901" ht="30" customHeight="1">
      <c r="A901" s="2" t="inlineStr">
        <is>
          <t>P-24</t>
        </is>
      </c>
      <c r="B901" s="3" t="inlineStr">
        <is>
          <t>POL</t>
        </is>
      </c>
      <c r="C901" s="3" t="inlineStr">
        <is>
          <t>policy.tests.test_naming_glossary</t>
        </is>
      </c>
      <c r="D901" s="3" t="inlineStr">
        <is>
          <t>TestGlossaryEnforcement</t>
        </is>
      </c>
      <c r="E901" s="3" t="inlineStr">
        <is>
          <t>test_a_synonym_used_instead_of_an_enforced_term_is_refused_and_logged</t>
        </is>
      </c>
      <c r="F901" s="3" t="inlineStr">
        <is>
          <t>whole class</t>
        </is>
      </c>
      <c r="G901" s="2" t="n">
        <v>9</v>
      </c>
      <c r="H901" s="2" t="n">
        <v>9</v>
      </c>
      <c r="I901" s="3" t="inlineStr">
        <is>
          <t>consilium/policy/tests/test_naming_glossary.py</t>
        </is>
      </c>
    </row>
    <row r="902" ht="17" customHeight="1">
      <c r="A902" s="2" t="inlineStr">
        <is>
          <t>P-24</t>
        </is>
      </c>
      <c r="B902" s="3" t="inlineStr">
        <is>
          <t>POL</t>
        </is>
      </c>
      <c r="C902" s="3" t="inlineStr">
        <is>
          <t>policy.tests.test_naming_glossary</t>
        </is>
      </c>
      <c r="D902" s="3" t="inlineStr">
        <is>
          <t>TestGlossaryEnforcement</t>
        </is>
      </c>
      <c r="E902" s="3" t="inlineStr">
        <is>
          <t>test_a_new_document_is_checked_too</t>
        </is>
      </c>
      <c r="F902" s="3" t="inlineStr">
        <is>
          <t>whole class</t>
        </is>
      </c>
      <c r="G902" s="2" t="n">
        <v>9</v>
      </c>
      <c r="H902" s="2" t="n">
        <v>9</v>
      </c>
      <c r="I902" s="3" t="inlineStr">
        <is>
          <t>consilium/policy/tests/test_naming_glossary.py</t>
        </is>
      </c>
    </row>
    <row r="903" ht="17" customHeight="1">
      <c r="A903" s="2" t="inlineStr">
        <is>
          <t>P-24</t>
        </is>
      </c>
      <c r="B903" s="3" t="inlineStr">
        <is>
          <t>POL</t>
        </is>
      </c>
      <c r="C903" s="3" t="inlineStr">
        <is>
          <t>policy.tests.test_naming_glossary</t>
        </is>
      </c>
      <c r="D903" s="3" t="inlineStr">
        <is>
          <t>TestGlossaryEnforcement</t>
        </is>
      </c>
      <c r="E903" s="3" t="inlineStr">
        <is>
          <t>test_a_synonym_alongside_the_official_term_is_accepted</t>
        </is>
      </c>
      <c r="F903" s="3" t="inlineStr">
        <is>
          <t>whole class</t>
        </is>
      </c>
      <c r="G903" s="2" t="n">
        <v>9</v>
      </c>
      <c r="H903" s="2" t="n">
        <v>9</v>
      </c>
      <c r="I903" s="3" t="inlineStr">
        <is>
          <t>consilium/policy/tests/test_naming_glossary.py</t>
        </is>
      </c>
    </row>
    <row r="904" ht="17" customHeight="1">
      <c r="A904" s="2" t="inlineStr">
        <is>
          <t>P-24</t>
        </is>
      </c>
      <c r="B904" s="3" t="inlineStr">
        <is>
          <t>POL</t>
        </is>
      </c>
      <c r="C904" s="3" t="inlineStr">
        <is>
          <t>policy.tests.test_naming_glossary</t>
        </is>
      </c>
      <c r="D904" s="3" t="inlineStr">
        <is>
          <t>TestGlossaryEnforcement</t>
        </is>
      </c>
      <c r="E904" s="3" t="inlineStr">
        <is>
          <t>test_an_unenforced_or_unpublished_term_does_not_refuse</t>
        </is>
      </c>
      <c r="F904" s="3" t="inlineStr">
        <is>
          <t>whole class</t>
        </is>
      </c>
      <c r="G904" s="2" t="n">
        <v>9</v>
      </c>
      <c r="H904" s="2" t="n">
        <v>9</v>
      </c>
      <c r="I904" s="3" t="inlineStr">
        <is>
          <t>consilium/policy/tests/test_naming_glossary.py</t>
        </is>
      </c>
    </row>
    <row r="905" ht="30" customHeight="1">
      <c r="A905" s="2" t="inlineStr">
        <is>
          <t>P-24</t>
        </is>
      </c>
      <c r="B905" s="3" t="inlineStr">
        <is>
          <t>POL</t>
        </is>
      </c>
      <c r="C905" s="3" t="inlineStr">
        <is>
          <t>policy.tests.test_naming_glossary</t>
        </is>
      </c>
      <c r="D905" s="3" t="inlineStr">
        <is>
          <t>TestGlossaryEnforcement</t>
        </is>
      </c>
      <c r="E905" s="3" t="inlineStr">
        <is>
          <t>test_retired_wording_superseded_by_an_enforced_term_is_refused</t>
        </is>
      </c>
      <c r="F905" s="3" t="inlineStr">
        <is>
          <t>whole class</t>
        </is>
      </c>
      <c r="G905" s="2" t="n">
        <v>9</v>
      </c>
      <c r="H905" s="2" t="n">
        <v>9</v>
      </c>
      <c r="I905" s="3" t="inlineStr">
        <is>
          <t>consilium/policy/tests/test_naming_glossary.py</t>
        </is>
      </c>
    </row>
    <row r="906" ht="17" customHeight="1">
      <c r="A906" s="2" t="inlineStr">
        <is>
          <t>P-24</t>
        </is>
      </c>
      <c r="B906" s="3" t="inlineStr">
        <is>
          <t>POL</t>
        </is>
      </c>
      <c r="C906" s="3" t="inlineStr">
        <is>
          <t>policy.tests.test_naming_glossary</t>
        </is>
      </c>
      <c r="D906" s="3" t="inlineStr">
        <is>
          <t>TestGlossaryEnforcement</t>
        </is>
      </c>
      <c r="E906" s="3" t="inlineStr">
        <is>
          <t>test_a_document_scoped_term_applies_to_its_document_only</t>
        </is>
      </c>
      <c r="F906" s="3" t="inlineStr">
        <is>
          <t>whole class</t>
        </is>
      </c>
      <c r="G906" s="2" t="n">
        <v>9</v>
      </c>
      <c r="H906" s="2" t="n">
        <v>9</v>
      </c>
      <c r="I906" s="3" t="inlineStr">
        <is>
          <t>consilium/policy/tests/test_naming_glossary.py</t>
        </is>
      </c>
    </row>
    <row r="907" ht="17" customHeight="1">
      <c r="A907" s="2" t="inlineStr">
        <is>
          <t>P-24</t>
        </is>
      </c>
      <c r="B907" s="3" t="inlineStr">
        <is>
          <t>POL</t>
        </is>
      </c>
      <c r="C907" s="3" t="inlineStr">
        <is>
          <t>policy.tests.test_naming_glossary</t>
        </is>
      </c>
      <c r="D907" s="3" t="inlineStr">
        <is>
          <t>TestGlossaryEnforcement</t>
        </is>
      </c>
      <c r="E907" s="3" t="inlineStr">
        <is>
          <t>test_text_that_did_not_change_is_not_rechecked</t>
        </is>
      </c>
      <c r="F907" s="3" t="inlineStr">
        <is>
          <t>whole class</t>
        </is>
      </c>
      <c r="G907" s="2" t="n">
        <v>9</v>
      </c>
      <c r="H907" s="2" t="n">
        <v>9</v>
      </c>
      <c r="I907" s="3" t="inlineStr">
        <is>
          <t>consilium/policy/tests/test_naming_glossary.py</t>
        </is>
      </c>
    </row>
    <row r="908" ht="17" customHeight="1">
      <c r="A908" s="2" t="inlineStr">
        <is>
          <t>P-24</t>
        </is>
      </c>
      <c r="B908" s="3" t="inlineStr">
        <is>
          <t>POL</t>
        </is>
      </c>
      <c r="C908" s="3" t="inlineStr">
        <is>
          <t>policy.tests.test_naming_glossary</t>
        </is>
      </c>
      <c r="D908" s="3" t="inlineStr">
        <is>
          <t>TestGlossaryEnforcement</t>
        </is>
      </c>
      <c r="E908" s="3" t="inlineStr">
        <is>
          <t>test_in_context_counts_use_and_reports_findings</t>
        </is>
      </c>
      <c r="F908" s="3" t="inlineStr">
        <is>
          <t>whole class</t>
        </is>
      </c>
      <c r="G908" s="2" t="n">
        <v>9</v>
      </c>
      <c r="H908" s="2" t="n">
        <v>9</v>
      </c>
      <c r="I908" s="3" t="inlineStr">
        <is>
          <t>consilium/policy/tests/test_naming_glossary.py</t>
        </is>
      </c>
    </row>
    <row r="909" ht="30" customHeight="1">
      <c r="A909" s="2" t="inlineStr">
        <is>
          <t>P-24</t>
        </is>
      </c>
      <c r="B909" s="3" t="inlineStr">
        <is>
          <t>POL</t>
        </is>
      </c>
      <c r="C909" s="3" t="inlineStr">
        <is>
          <t>policy.tests.test_naming_glossary</t>
        </is>
      </c>
      <c r="D909" s="3" t="inlineStr">
        <is>
          <t>TestGlossaryEnforcement</t>
        </is>
      </c>
      <c r="E909" s="3" t="inlineStr">
        <is>
          <t>test_in_context_is_refused_to_someone_who_cannot_read_the_document</t>
        </is>
      </c>
      <c r="F909" s="3" t="inlineStr">
        <is>
          <t>whole class</t>
        </is>
      </c>
      <c r="G909" s="2" t="n">
        <v>9</v>
      </c>
      <c r="H909" s="2" t="n">
        <v>9</v>
      </c>
      <c r="I909" s="3" t="inlineStr">
        <is>
          <t>consilium/policy/tests/test_naming_glossary.py</t>
        </is>
      </c>
    </row>
    <row r="910" ht="17" customHeight="1">
      <c r="A910" s="2" t="inlineStr">
        <is>
          <t>P-24</t>
        </is>
      </c>
      <c r="B910" s="3" t="inlineStr">
        <is>
          <t>POL</t>
        </is>
      </c>
      <c r="C910" s="3" t="inlineStr">
        <is>
          <t>policy.tests.test_wave3</t>
        </is>
      </c>
      <c r="D910" s="3" t="inlineStr">
        <is>
          <t>TestGlossaryOnThePage</t>
        </is>
      </c>
      <c r="E910" s="3" t="inlineStr">
        <is>
          <t>test_an_upload_is_held_to_the_glossary</t>
        </is>
      </c>
      <c r="F910" s="3" t="inlineStr">
        <is>
          <t>whole class</t>
        </is>
      </c>
      <c r="G910" s="2" t="n">
        <v>2</v>
      </c>
      <c r="H910" s="2" t="n">
        <v>2</v>
      </c>
      <c r="I910" s="3" t="inlineStr">
        <is>
          <t>consilium/policy/tests/test_wave3.py</t>
        </is>
      </c>
    </row>
    <row r="911" ht="17" customHeight="1">
      <c r="A911" s="2" t="inlineStr">
        <is>
          <t>P-24</t>
        </is>
      </c>
      <c r="B911" s="3" t="inlineStr">
        <is>
          <t>POL</t>
        </is>
      </c>
      <c r="C911" s="3" t="inlineStr">
        <is>
          <t>policy.tests.test_wave3</t>
        </is>
      </c>
      <c r="D911" s="3" t="inlineStr">
        <is>
          <t>TestGlossaryOnThePage</t>
        </is>
      </c>
      <c r="E911" s="3" t="inlineStr">
        <is>
          <t>test_the_document_page_reads_the_terms_in_context</t>
        </is>
      </c>
      <c r="F911" s="3" t="inlineStr">
        <is>
          <t>whole class</t>
        </is>
      </c>
      <c r="G911" s="2" t="n">
        <v>2</v>
      </c>
      <c r="H911" s="2" t="n">
        <v>2</v>
      </c>
      <c r="I911" s="3" t="inlineStr">
        <is>
          <t>consilium/policy/tests/test_wave3.py</t>
        </is>
      </c>
    </row>
    <row r="912" ht="17" customHeight="1">
      <c r="A912" s="2" t="inlineStr">
        <is>
          <t>P-24</t>
        </is>
      </c>
      <c r="B912" s="3" t="inlineStr">
        <is>
          <t>POL</t>
        </is>
      </c>
      <c r="C912" s="3" t="inlineStr">
        <is>
          <t>policy.tests.test_monitoring</t>
        </is>
      </c>
      <c r="D912" s="3" t="inlineStr">
        <is>
          <t>TestGlossary</t>
        </is>
      </c>
      <c r="E912" s="3" t="inlineStr">
        <is>
          <t>test_a_proposed_term_is_not_yet_in_force</t>
        </is>
      </c>
      <c r="F912" s="3" t="inlineStr">
        <is>
          <t>whole class</t>
        </is>
      </c>
      <c r="G912" s="2" t="n">
        <v>8</v>
      </c>
      <c r="H912" s="2" t="n">
        <v>8</v>
      </c>
      <c r="I912" s="3" t="inlineStr">
        <is>
          <t>consilium/policy/tests/test_monitoring.py</t>
        </is>
      </c>
    </row>
    <row r="913" ht="17" customHeight="1">
      <c r="A913" s="2" t="inlineStr">
        <is>
          <t>P-24</t>
        </is>
      </c>
      <c r="B913" s="3" t="inlineStr">
        <is>
          <t>POL</t>
        </is>
      </c>
      <c r="C913" s="3" t="inlineStr">
        <is>
          <t>policy.tests.test_monitoring</t>
        </is>
      </c>
      <c r="D913" s="3" t="inlineStr">
        <is>
          <t>TestGlossary</t>
        </is>
      </c>
      <c r="E913" s="3" t="inlineStr">
        <is>
          <t>test_publishing_a_term_versions_it</t>
        </is>
      </c>
      <c r="F913" s="3" t="inlineStr">
        <is>
          <t>whole class</t>
        </is>
      </c>
      <c r="G913" s="2" t="n">
        <v>8</v>
      </c>
      <c r="H913" s="2" t="n">
        <v>8</v>
      </c>
      <c r="I913" s="3" t="inlineStr">
        <is>
          <t>consilium/policy/tests/test_monitoring.py</t>
        </is>
      </c>
    </row>
    <row r="914" ht="30" customHeight="1">
      <c r="A914" s="2" t="inlineStr">
        <is>
          <t>P-24</t>
        </is>
      </c>
      <c r="B914" s="3" t="inlineStr">
        <is>
          <t>POL</t>
        </is>
      </c>
      <c r="C914" s="3" t="inlineStr">
        <is>
          <t>policy.tests.test_monitoring</t>
        </is>
      </c>
      <c r="D914" s="3" t="inlineStr">
        <is>
          <t>TestGlossary</t>
        </is>
      </c>
      <c r="E914" s="3" t="inlineStr">
        <is>
          <t>test_a_change_writes_a_new_version_and_keeps_the_old_wording</t>
        </is>
      </c>
      <c r="F914" s="3" t="inlineStr">
        <is>
          <t>whole class</t>
        </is>
      </c>
      <c r="G914" s="2" t="n">
        <v>8</v>
      </c>
      <c r="H914" s="2" t="n">
        <v>8</v>
      </c>
      <c r="I914" s="3" t="inlineStr">
        <is>
          <t>consilium/policy/tests/test_monitoring.py</t>
        </is>
      </c>
    </row>
    <row r="915" ht="30" customHeight="1">
      <c r="A915" s="2" t="inlineStr">
        <is>
          <t>P-24</t>
        </is>
      </c>
      <c r="B915" s="3" t="inlineStr">
        <is>
          <t>POL</t>
        </is>
      </c>
      <c r="C915" s="3" t="inlineStr">
        <is>
          <t>policy.tests.test_monitoring</t>
        </is>
      </c>
      <c r="D915" s="3" t="inlineStr">
        <is>
          <t>TestGlossary</t>
        </is>
      </c>
      <c r="E915" s="3" t="inlineStr">
        <is>
          <t>test_a_revert_writes_a_new_version_rather_than_rewriting_one</t>
        </is>
      </c>
      <c r="F915" s="3" t="inlineStr">
        <is>
          <t>whole class</t>
        </is>
      </c>
      <c r="G915" s="2" t="n">
        <v>8</v>
      </c>
      <c r="H915" s="2" t="n">
        <v>8</v>
      </c>
      <c r="I915" s="3" t="inlineStr">
        <is>
          <t>consilium/policy/tests/test_monitoring.py</t>
        </is>
      </c>
    </row>
    <row r="916" ht="17" customHeight="1">
      <c r="A916" s="2" t="inlineStr">
        <is>
          <t>P-24</t>
        </is>
      </c>
      <c r="B916" s="3" t="inlineStr">
        <is>
          <t>POL</t>
        </is>
      </c>
      <c r="C916" s="3" t="inlineStr">
        <is>
          <t>policy.tests.test_monitoring</t>
        </is>
      </c>
      <c r="D916" s="3" t="inlineStr">
        <is>
          <t>TestGlossary</t>
        </is>
      </c>
      <c r="E916" s="3" t="inlineStr">
        <is>
          <t>test_two_terms_cannot_be_in_force_at_the_same_scope</t>
        </is>
      </c>
      <c r="F916" s="3" t="inlineStr">
        <is>
          <t>whole class</t>
        </is>
      </c>
      <c r="G916" s="2" t="n">
        <v>8</v>
      </c>
      <c r="H916" s="2" t="n">
        <v>8</v>
      </c>
      <c r="I916" s="3" t="inlineStr">
        <is>
          <t>consilium/policy/tests/test_monitoring.py</t>
        </is>
      </c>
    </row>
    <row r="917" ht="17" customHeight="1">
      <c r="A917" s="2" t="inlineStr">
        <is>
          <t>P-24</t>
        </is>
      </c>
      <c r="B917" s="3" t="inlineStr">
        <is>
          <t>POL</t>
        </is>
      </c>
      <c r="C917" s="3" t="inlineStr">
        <is>
          <t>policy.tests.test_monitoring</t>
        </is>
      </c>
      <c r="D917" s="3" t="inlineStr">
        <is>
          <t>TestGlossary</t>
        </is>
      </c>
      <c r="E917" s="3" t="inlineStr">
        <is>
          <t>test_a_scoped_term_must_name_its_document</t>
        </is>
      </c>
      <c r="F917" s="3" t="inlineStr">
        <is>
          <t>whole class</t>
        </is>
      </c>
      <c r="G917" s="2" t="n">
        <v>8</v>
      </c>
      <c r="H917" s="2" t="n">
        <v>8</v>
      </c>
      <c r="I917" s="3" t="inlineStr">
        <is>
          <t>consilium/policy/tests/test_monitoring.py</t>
        </is>
      </c>
    </row>
    <row r="918" ht="17" customHeight="1">
      <c r="A918" s="2" t="inlineStr">
        <is>
          <t>P-24</t>
        </is>
      </c>
      <c r="B918" s="3" t="inlineStr">
        <is>
          <t>POL</t>
        </is>
      </c>
      <c r="C918" s="3" t="inlineStr">
        <is>
          <t>policy.tests.test_monitoring</t>
        </is>
      </c>
      <c r="D918" s="3" t="inlineStr">
        <is>
          <t>TestGlossary</t>
        </is>
      </c>
      <c r="E918" s="3" t="inlineStr">
        <is>
          <t>test_definitions_are_surfaced_for_a_document</t>
        </is>
      </c>
      <c r="F918" s="3" t="inlineStr">
        <is>
          <t>whole class</t>
        </is>
      </c>
      <c r="G918" s="2" t="n">
        <v>8</v>
      </c>
      <c r="H918" s="2" t="n">
        <v>8</v>
      </c>
      <c r="I918" s="3" t="inlineStr">
        <is>
          <t>consilium/policy/tests/test_monitoring.py</t>
        </is>
      </c>
    </row>
    <row r="919" ht="17" customHeight="1">
      <c r="A919" s="2" t="inlineStr">
        <is>
          <t>P-24</t>
        </is>
      </c>
      <c r="B919" s="3" t="inlineStr">
        <is>
          <t>POL</t>
        </is>
      </c>
      <c r="C919" s="3" t="inlineStr">
        <is>
          <t>policy.tests.test_monitoring</t>
        </is>
      </c>
      <c r="D919" s="3" t="inlineStr">
        <is>
          <t>TestGlossary</t>
        </is>
      </c>
      <c r="E919" s="3" t="inlineStr">
        <is>
          <t>test_a_reviewer_cannot_publish_a_term</t>
        </is>
      </c>
      <c r="F919" s="3" t="inlineStr">
        <is>
          <t>whole class</t>
        </is>
      </c>
      <c r="G919" s="2" t="n">
        <v>8</v>
      </c>
      <c r="H919" s="2" t="n">
        <v>8</v>
      </c>
      <c r="I919" s="3" t="inlineStr">
        <is>
          <t>consilium/policy/tests/test_monitoring.py</t>
        </is>
      </c>
    </row>
    <row r="920" ht="30" customHeight="1">
      <c r="A920" s="2" t="inlineStr">
        <is>
          <t>P-25</t>
        </is>
      </c>
      <c r="B920" s="3" t="inlineStr">
        <is>
          <t>POL</t>
        </is>
      </c>
      <c r="C920" s="3" t="inlineStr">
        <is>
          <t>policy.tests.test_lifecycle</t>
        </is>
      </c>
      <c r="D920" s="3" t="inlineStr">
        <is>
          <t>TestPublicationRefusal</t>
        </is>
      </c>
      <c r="E920" s="3" t="inlineStr">
        <is>
          <t>test_publication_without_a_complete_approval_chain_is_refused</t>
        </is>
      </c>
      <c r="F920" s="3" t="inlineStr">
        <is>
          <t>whole class</t>
        </is>
      </c>
      <c r="G920" s="2" t="n">
        <v>7</v>
      </c>
      <c r="H920" s="2" t="n">
        <v>7</v>
      </c>
      <c r="I920" s="3" t="inlineStr">
        <is>
          <t>consilium/policy/tests/test_lifecycle.py</t>
        </is>
      </c>
    </row>
    <row r="921" ht="17" customHeight="1">
      <c r="A921" s="2" t="inlineStr">
        <is>
          <t>P-25</t>
        </is>
      </c>
      <c r="B921" s="3" t="inlineStr">
        <is>
          <t>POL</t>
        </is>
      </c>
      <c r="C921" s="3" t="inlineStr">
        <is>
          <t>policy.tests.test_lifecycle</t>
        </is>
      </c>
      <c r="D921" s="3" t="inlineStr">
        <is>
          <t>TestPublicationRefusal</t>
        </is>
      </c>
      <c r="E921" s="3" t="inlineStr">
        <is>
          <t>test_publication_with_an_outstanding_step_is_refused</t>
        </is>
      </c>
      <c r="F921" s="3" t="inlineStr">
        <is>
          <t>whole class</t>
        </is>
      </c>
      <c r="G921" s="2" t="n">
        <v>7</v>
      </c>
      <c r="H921" s="2" t="n">
        <v>7</v>
      </c>
      <c r="I921" s="3" t="inlineStr">
        <is>
          <t>consilium/policy/tests/test_lifecycle.py</t>
        </is>
      </c>
    </row>
    <row r="922" ht="17" customHeight="1">
      <c r="A922" s="2" t="inlineStr">
        <is>
          <t>P-25</t>
        </is>
      </c>
      <c r="B922" s="3" t="inlineStr">
        <is>
          <t>POL</t>
        </is>
      </c>
      <c r="C922" s="3" t="inlineStr">
        <is>
          <t>policy.tests.test_lifecycle</t>
        </is>
      </c>
      <c r="D922" s="3" t="inlineStr">
        <is>
          <t>TestPublicationRefusal</t>
        </is>
      </c>
      <c r="E922" s="3" t="inlineStr">
        <is>
          <t>test_a_rejected_step_blocks_publication</t>
        </is>
      </c>
      <c r="F922" s="3" t="inlineStr">
        <is>
          <t>whole class</t>
        </is>
      </c>
      <c r="G922" s="2" t="n">
        <v>7</v>
      </c>
      <c r="H922" s="2" t="n">
        <v>7</v>
      </c>
      <c r="I922" s="3" t="inlineStr">
        <is>
          <t>consilium/policy/tests/test_lifecycle.py</t>
        </is>
      </c>
    </row>
    <row r="923" ht="17" customHeight="1">
      <c r="A923" s="2" t="inlineStr">
        <is>
          <t>P-25</t>
        </is>
      </c>
      <c r="B923" s="3" t="inlineStr">
        <is>
          <t>POL</t>
        </is>
      </c>
      <c r="C923" s="3" t="inlineStr">
        <is>
          <t>policy.tests.test_lifecycle</t>
        </is>
      </c>
      <c r="D923" s="3" t="inlineStr">
        <is>
          <t>TestPublicationRefusal</t>
        </is>
      </c>
      <c r="E923" s="3" t="inlineStr">
        <is>
          <t>test_publication_without_a_version_is_refused</t>
        </is>
      </c>
      <c r="F923" s="3" t="inlineStr">
        <is>
          <t>whole class</t>
        </is>
      </c>
      <c r="G923" s="2" t="n">
        <v>7</v>
      </c>
      <c r="H923" s="2" t="n">
        <v>7</v>
      </c>
      <c r="I923" s="3" t="inlineStr">
        <is>
          <t>consilium/policy/tests/test_lifecycle.py</t>
        </is>
      </c>
    </row>
    <row r="924" ht="17" customHeight="1">
      <c r="A924" s="2" t="inlineStr">
        <is>
          <t>P-25</t>
        </is>
      </c>
      <c r="B924" s="3" t="inlineStr">
        <is>
          <t>POL</t>
        </is>
      </c>
      <c r="C924" s="3" t="inlineStr">
        <is>
          <t>policy.tests.test_lifecycle</t>
        </is>
      </c>
      <c r="D924" s="3" t="inlineStr">
        <is>
          <t>TestPublicationRefusal</t>
        </is>
      </c>
      <c r="E924" s="3" t="inlineStr">
        <is>
          <t>test_publication_without_applicability_is_refused</t>
        </is>
      </c>
      <c r="F924" s="3" t="inlineStr">
        <is>
          <t>whole class</t>
        </is>
      </c>
      <c r="G924" s="2" t="n">
        <v>7</v>
      </c>
      <c r="H924" s="2" t="n">
        <v>7</v>
      </c>
      <c r="I924" s="3" t="inlineStr">
        <is>
          <t>consilium/policy/tests/test_lifecycle.py</t>
        </is>
      </c>
    </row>
    <row r="925" ht="17" customHeight="1">
      <c r="A925" s="2" t="inlineStr">
        <is>
          <t>P-25</t>
        </is>
      </c>
      <c r="B925" s="3" t="inlineStr">
        <is>
          <t>POL</t>
        </is>
      </c>
      <c r="C925" s="3" t="inlineStr">
        <is>
          <t>policy.tests.test_lifecycle</t>
        </is>
      </c>
      <c r="D925" s="3" t="inlineStr">
        <is>
          <t>TestPublicationRefusal</t>
        </is>
      </c>
      <c r="E925" s="3" t="inlineStr">
        <is>
          <t>test_a_bypass_needs_a_recorded_exception_authorisation</t>
        </is>
      </c>
      <c r="F925" s="3" t="inlineStr">
        <is>
          <t>whole class</t>
        </is>
      </c>
      <c r="G925" s="2" t="n">
        <v>7</v>
      </c>
      <c r="H925" s="2" t="n">
        <v>7</v>
      </c>
      <c r="I925" s="3" t="inlineStr">
        <is>
          <t>consilium/policy/tests/test_lifecycle.py</t>
        </is>
      </c>
    </row>
    <row r="926" ht="17" customHeight="1">
      <c r="A926" s="2" t="inlineStr">
        <is>
          <t>P-25</t>
        </is>
      </c>
      <c r="B926" s="3" t="inlineStr">
        <is>
          <t>POL</t>
        </is>
      </c>
      <c r="C926" s="3" t="inlineStr">
        <is>
          <t>policy.tests.test_lifecycle</t>
        </is>
      </c>
      <c r="D926" s="3" t="inlineStr">
        <is>
          <t>TestPublicationRefusal</t>
        </is>
      </c>
      <c r="E926" s="3" t="inlineStr">
        <is>
          <t>test_readiness_explains_the_refusal_before_it_happens</t>
        </is>
      </c>
      <c r="F926" s="3" t="inlineStr">
        <is>
          <t>whole class</t>
        </is>
      </c>
      <c r="G926" s="2" t="n">
        <v>7</v>
      </c>
      <c r="H926" s="2" t="n">
        <v>7</v>
      </c>
      <c r="I926" s="3" t="inlineStr">
        <is>
          <t>consilium/policy/tests/test_lifecycle.py</t>
        </is>
      </c>
    </row>
    <row r="927" ht="17" customHeight="1">
      <c r="A927" s="2" t="inlineStr">
        <is>
          <t>P-25</t>
        </is>
      </c>
      <c r="B927" s="3" t="inlineStr">
        <is>
          <t>POL</t>
        </is>
      </c>
      <c r="C927" s="3" t="inlineStr">
        <is>
          <t>policy.tests.test_regressions</t>
        </is>
      </c>
      <c r="D927" s="3" t="inlineStr">
        <is>
          <t>TestGatesOnEveryRoute</t>
        </is>
      </c>
      <c r="E927" s="3" t="inlineStr">
        <is>
          <t>test_the_workflow_menu_cannot_publish_past_a_failing_gate</t>
        </is>
      </c>
      <c r="F927" s="3" t="inlineStr">
        <is>
          <t>whole class</t>
        </is>
      </c>
      <c r="G927" s="2" t="n">
        <v>3</v>
      </c>
      <c r="H927" s="2" t="n">
        <v>3</v>
      </c>
      <c r="I927" s="3" t="inlineStr">
        <is>
          <t>consilium/policy/tests/test_regressions.py</t>
        </is>
      </c>
    </row>
    <row r="928" ht="17" customHeight="1">
      <c r="A928" s="2" t="inlineStr">
        <is>
          <t>P-25</t>
        </is>
      </c>
      <c r="B928" s="3" t="inlineStr">
        <is>
          <t>POL</t>
        </is>
      </c>
      <c r="C928" s="3" t="inlineStr">
        <is>
          <t>policy.tests.test_regressions</t>
        </is>
      </c>
      <c r="D928" s="3" t="inlineStr">
        <is>
          <t>TestGatesOnEveryRoute</t>
        </is>
      </c>
      <c r="E928" s="3" t="inlineStr">
        <is>
          <t>test_writing_the_phase_directly_cannot_publish_either</t>
        </is>
      </c>
      <c r="F928" s="3" t="inlineStr">
        <is>
          <t>whole class</t>
        </is>
      </c>
      <c r="G928" s="2" t="n">
        <v>3</v>
      </c>
      <c r="H928" s="2" t="n">
        <v>3</v>
      </c>
      <c r="I928" s="3" t="inlineStr">
        <is>
          <t>consilium/policy/tests/test_regressions.py</t>
        </is>
      </c>
    </row>
    <row r="929" ht="30" customHeight="1">
      <c r="A929" s="2" t="inlineStr">
        <is>
          <t>P-25</t>
        </is>
      </c>
      <c r="B929" s="3" t="inlineStr">
        <is>
          <t>POL</t>
        </is>
      </c>
      <c r="C929" s="3" t="inlineStr">
        <is>
          <t>policy.tests.test_regressions</t>
        </is>
      </c>
      <c r="D929" s="3" t="inlineStr">
        <is>
          <t>TestGatesOnEveryRoute</t>
        </is>
      </c>
      <c r="E929" s="3" t="inlineStr">
        <is>
          <t>test_the_proper_route_still_publishes_once_the_chain_is_complete</t>
        </is>
      </c>
      <c r="F929" s="3" t="inlineStr">
        <is>
          <t>whole class</t>
        </is>
      </c>
      <c r="G929" s="2" t="n">
        <v>3</v>
      </c>
      <c r="H929" s="2" t="n">
        <v>3</v>
      </c>
      <c r="I929" s="3" t="inlineStr">
        <is>
          <t>consilium/policy/tests/test_regressions.py</t>
        </is>
      </c>
    </row>
    <row r="930" ht="17" customHeight="1">
      <c r="A930" s="2" t="inlineStr">
        <is>
          <t>P-25</t>
        </is>
      </c>
      <c r="B930" s="3" t="inlineStr">
        <is>
          <t>POL</t>
        </is>
      </c>
      <c r="C930" s="3" t="inlineStr">
        <is>
          <t>policy.tests.test_w3_record_approval</t>
        </is>
      </c>
      <c r="D930" s="3" t="inlineStr">
        <is>
          <t>TestRecordApprovalChecksTheChain</t>
        </is>
      </c>
      <c r="E930" s="3" t="inlineStr">
        <is>
          <t>test_the_gate_is_configured_on_approval</t>
        </is>
      </c>
      <c r="F930" s="3" t="inlineStr">
        <is>
          <t>whole class</t>
        </is>
      </c>
      <c r="G930" s="2" t="n">
        <v>5</v>
      </c>
      <c r="H930" s="2" t="n">
        <v>5</v>
      </c>
      <c r="I930" s="3" t="inlineStr">
        <is>
          <t>consilium/policy/tests/test_w3_record_approval.py</t>
        </is>
      </c>
    </row>
    <row r="931" ht="30" customHeight="1">
      <c r="A931" s="2" t="inlineStr">
        <is>
          <t>P-25</t>
        </is>
      </c>
      <c r="B931" s="3" t="inlineStr">
        <is>
          <t>POL</t>
        </is>
      </c>
      <c r="C931" s="3" t="inlineStr">
        <is>
          <t>policy.tests.test_w3_record_approval</t>
        </is>
      </c>
      <c r="D931" s="3" t="inlineStr">
        <is>
          <t>TestRecordApprovalChecksTheChain</t>
        </is>
      </c>
      <c r="E931" s="3" t="inlineStr">
        <is>
          <t>test_approval_is_refused_while_a_step_is_undecided_and_the_refusal_is_audited</t>
        </is>
      </c>
      <c r="F931" s="3" t="inlineStr">
        <is>
          <t>whole class</t>
        </is>
      </c>
      <c r="G931" s="2" t="n">
        <v>5</v>
      </c>
      <c r="H931" s="2" t="n">
        <v>5</v>
      </c>
      <c r="I931" s="3" t="inlineStr">
        <is>
          <t>consilium/policy/tests/test_w3_record_approval.py</t>
        </is>
      </c>
    </row>
    <row r="932" ht="17" customHeight="1">
      <c r="A932" s="2" t="inlineStr">
        <is>
          <t>P-25</t>
        </is>
      </c>
      <c r="B932" s="3" t="inlineStr">
        <is>
          <t>POL</t>
        </is>
      </c>
      <c r="C932" s="3" t="inlineStr">
        <is>
          <t>policy.tests.test_w3_record_approval</t>
        </is>
      </c>
      <c r="D932" s="3" t="inlineStr">
        <is>
          <t>TestRecordApprovalChecksTheChain</t>
        </is>
      </c>
      <c r="E932" s="3" t="inlineStr">
        <is>
          <t>test_the_portal_shows_the_block_and_refuses_the_action</t>
        </is>
      </c>
      <c r="F932" s="3" t="inlineStr">
        <is>
          <t>whole class</t>
        </is>
      </c>
      <c r="G932" s="2" t="n">
        <v>5</v>
      </c>
      <c r="H932" s="2" t="n">
        <v>5</v>
      </c>
      <c r="I932" s="3" t="inlineStr">
        <is>
          <t>consilium/policy/tests/test_w3_record_approval.py</t>
        </is>
      </c>
    </row>
    <row r="933" ht="17" customHeight="1">
      <c r="A933" s="2" t="inlineStr">
        <is>
          <t>P-25</t>
        </is>
      </c>
      <c r="B933" s="3" t="inlineStr">
        <is>
          <t>POL</t>
        </is>
      </c>
      <c r="C933" s="3" t="inlineStr">
        <is>
          <t>policy.tests.test_w3_record_approval</t>
        </is>
      </c>
      <c r="D933" s="3" t="inlineStr">
        <is>
          <t>TestRecordApprovalChecksTheChain</t>
        </is>
      </c>
      <c r="E933" s="3" t="inlineStr">
        <is>
          <t>test_a_rejected_step_blocks_approval</t>
        </is>
      </c>
      <c r="F933" s="3" t="inlineStr">
        <is>
          <t>whole class</t>
        </is>
      </c>
      <c r="G933" s="2" t="n">
        <v>5</v>
      </c>
      <c r="H933" s="2" t="n">
        <v>5</v>
      </c>
      <c r="I933" s="3" t="inlineStr">
        <is>
          <t>consilium/policy/tests/test_w3_record_approval.py</t>
        </is>
      </c>
    </row>
    <row r="934" ht="17" customHeight="1">
      <c r="A934" s="2" t="inlineStr">
        <is>
          <t>P-25</t>
        </is>
      </c>
      <c r="B934" s="3" t="inlineStr">
        <is>
          <t>POL</t>
        </is>
      </c>
      <c r="C934" s="3" t="inlineStr">
        <is>
          <t>policy.tests.test_w3_record_approval</t>
        </is>
      </c>
      <c r="D934" s="3" t="inlineStr">
        <is>
          <t>TestRecordApprovalChecksTheChain</t>
        </is>
      </c>
      <c r="E934" s="3" t="inlineStr">
        <is>
          <t>test_a_step_decided_by_a_live_delegate_counts</t>
        </is>
      </c>
      <c r="F934" s="3" t="inlineStr">
        <is>
          <t>whole class</t>
        </is>
      </c>
      <c r="G934" s="2" t="n">
        <v>5</v>
      </c>
      <c r="H934" s="2" t="n">
        <v>5</v>
      </c>
      <c r="I934" s="3" t="inlineStr">
        <is>
          <t>consilium/policy/tests/test_w3_record_approval.py</t>
        </is>
      </c>
    </row>
    <row r="935" ht="30" customHeight="1">
      <c r="A935" s="2" t="inlineStr">
        <is>
          <t>P-25</t>
        </is>
      </c>
      <c r="B935" s="3" t="inlineStr">
        <is>
          <t>POL</t>
        </is>
      </c>
      <c r="C935" s="3" t="inlineStr">
        <is>
          <t>policy.tests.test_wave3</t>
        </is>
      </c>
      <c r="D935" s="3" t="inlineStr">
        <is>
          <t>TestGateExceptions</t>
        </is>
      </c>
      <c r="E935" s="3" t="inlineStr">
        <is>
          <t>test_requested_by_the_owner_approved_by_the_office_then_it_clears_the_gate</t>
        </is>
      </c>
      <c r="F935" s="3" t="inlineStr">
        <is>
          <t>whole class</t>
        </is>
      </c>
      <c r="G935" s="2" t="n">
        <v>4</v>
      </c>
      <c r="H935" s="2" t="n">
        <v>4</v>
      </c>
      <c r="I935" s="3" t="inlineStr">
        <is>
          <t>consilium/policy/tests/test_wave3.py</t>
        </is>
      </c>
    </row>
    <row r="936" ht="17" customHeight="1">
      <c r="A936" s="2" t="inlineStr">
        <is>
          <t>P-25</t>
        </is>
      </c>
      <c r="B936" s="3" t="inlineStr">
        <is>
          <t>POL</t>
        </is>
      </c>
      <c r="C936" s="3" t="inlineStr">
        <is>
          <t>policy.tests.test_wave3</t>
        </is>
      </c>
      <c r="D936" s="3" t="inlineStr">
        <is>
          <t>TestGateExceptions</t>
        </is>
      </c>
      <c r="E936" s="3" t="inlineStr">
        <is>
          <t>test_nobody_approves_their_own_request</t>
        </is>
      </c>
      <c r="F936" s="3" t="inlineStr">
        <is>
          <t>whole class</t>
        </is>
      </c>
      <c r="G936" s="2" t="n">
        <v>4</v>
      </c>
      <c r="H936" s="2" t="n">
        <v>4</v>
      </c>
      <c r="I936" s="3" t="inlineStr">
        <is>
          <t>consilium/policy/tests/test_wave3.py</t>
        </is>
      </c>
    </row>
    <row r="937" ht="30" customHeight="1">
      <c r="A937" s="2" t="inlineStr">
        <is>
          <t>P-25</t>
        </is>
      </c>
      <c r="B937" s="3" t="inlineStr">
        <is>
          <t>POL</t>
        </is>
      </c>
      <c r="C937" s="3" t="inlineStr">
        <is>
          <t>policy.tests.test_wave3</t>
        </is>
      </c>
      <c r="D937" s="3" t="inlineStr">
        <is>
          <t>TestGateExceptions</t>
        </is>
      </c>
      <c r="E937" s="3" t="inlineStr">
        <is>
          <t>test_an_approval_by_someone_without_the_standing_does_not_clear_a_gate</t>
        </is>
      </c>
      <c r="F937" s="3" t="inlineStr">
        <is>
          <t>whole class</t>
        </is>
      </c>
      <c r="G937" s="2" t="n">
        <v>4</v>
      </c>
      <c r="H937" s="2" t="n">
        <v>4</v>
      </c>
      <c r="I937" s="3" t="inlineStr">
        <is>
          <t>consilium/policy/tests/test_wave3.py</t>
        </is>
      </c>
    </row>
    <row r="938" ht="30" customHeight="1">
      <c r="A938" s="2" t="inlineStr">
        <is>
          <t>P-25</t>
        </is>
      </c>
      <c r="B938" s="3" t="inlineStr">
        <is>
          <t>POL</t>
        </is>
      </c>
      <c r="C938" s="3" t="inlineStr">
        <is>
          <t>policy.tests.test_wave3</t>
        </is>
      </c>
      <c r="D938" s="3" t="inlineStr">
        <is>
          <t>TestGateExceptions</t>
        </is>
      </c>
      <c r="E938" s="3" t="inlineStr">
        <is>
          <t>test_a_self_approved_step_bypass_does_not_excuse_other_gates</t>
        </is>
      </c>
      <c r="F938" s="3" t="inlineStr">
        <is>
          <t>whole class</t>
        </is>
      </c>
      <c r="G938" s="2" t="n">
        <v>4</v>
      </c>
      <c r="H938" s="2" t="n">
        <v>4</v>
      </c>
      <c r="I938" s="3" t="inlineStr">
        <is>
          <t>consilium/policy/tests/test_wave3.py</t>
        </is>
      </c>
    </row>
    <row r="939" ht="17" customHeight="1">
      <c r="A939" s="2" t="inlineStr">
        <is>
          <t>P-25</t>
        </is>
      </c>
      <c r="B939" s="3" t="inlineStr">
        <is>
          <t>POL</t>
        </is>
      </c>
      <c r="C939" s="3" t="inlineStr">
        <is>
          <t>policy.tests.test_portal_actions</t>
        </is>
      </c>
      <c r="D939" s="3" t="inlineStr">
        <is>
          <t>TestLifecycleActions</t>
        </is>
      </c>
      <c r="E939" s="3" t="inlineStr">
        <is>
          <t>test_the_owner_submits_for_review_from_the_portal</t>
        </is>
      </c>
      <c r="F939" s="3" t="inlineStr">
        <is>
          <t>whole class</t>
        </is>
      </c>
      <c r="G939" s="2" t="n">
        <v>8</v>
      </c>
      <c r="H939" s="2" t="n">
        <v>8</v>
      </c>
      <c r="I939" s="3" t="inlineStr">
        <is>
          <t>consilium/policy/tests/test_portal_actions.py</t>
        </is>
      </c>
    </row>
    <row r="940" ht="17" customHeight="1">
      <c r="A940" s="2" t="inlineStr">
        <is>
          <t>P-25</t>
        </is>
      </c>
      <c r="B940" s="3" t="inlineStr">
        <is>
          <t>POL</t>
        </is>
      </c>
      <c r="C940" s="3" t="inlineStr">
        <is>
          <t>policy.tests.test_portal_actions</t>
        </is>
      </c>
      <c r="D940" s="3" t="inlineStr">
        <is>
          <t>TestLifecycleActions</t>
        </is>
      </c>
      <c r="E940" s="3" t="inlineStr">
        <is>
          <t>test_an_action_another_role_takes_is_refused_and_audited</t>
        </is>
      </c>
      <c r="F940" s="3" t="inlineStr">
        <is>
          <t>whole class</t>
        </is>
      </c>
      <c r="G940" s="2" t="n">
        <v>8</v>
      </c>
      <c r="H940" s="2" t="n">
        <v>8</v>
      </c>
      <c r="I940" s="3" t="inlineStr">
        <is>
          <t>consilium/policy/tests/test_portal_actions.py</t>
        </is>
      </c>
    </row>
    <row r="941" ht="17" customHeight="1">
      <c r="A941" s="2" t="inlineStr">
        <is>
          <t>P-25</t>
        </is>
      </c>
      <c r="B941" s="3" t="inlineStr">
        <is>
          <t>POL</t>
        </is>
      </c>
      <c r="C941" s="3" t="inlineStr">
        <is>
          <t>policy.tests.test_portal_actions</t>
        </is>
      </c>
      <c r="D941" s="3" t="inlineStr">
        <is>
          <t>TestLifecycleActions</t>
        </is>
      </c>
      <c r="E941" s="3" t="inlineStr">
        <is>
          <t>test_an_action_not_configured_from_this_phase_is_refused</t>
        </is>
      </c>
      <c r="F941" s="3" t="inlineStr">
        <is>
          <t>whole class</t>
        </is>
      </c>
      <c r="G941" s="2" t="n">
        <v>8</v>
      </c>
      <c r="H941" s="2" t="n">
        <v>8</v>
      </c>
      <c r="I941" s="3" t="inlineStr">
        <is>
          <t>consilium/policy/tests/test_portal_actions.py</t>
        </is>
      </c>
    </row>
    <row r="942" ht="17" customHeight="1">
      <c r="A942" s="2" t="inlineStr">
        <is>
          <t>P-25</t>
        </is>
      </c>
      <c r="B942" s="3" t="inlineStr">
        <is>
          <t>POL</t>
        </is>
      </c>
      <c r="C942" s="3" t="inlineStr">
        <is>
          <t>policy.tests.test_portal_actions</t>
        </is>
      </c>
      <c r="D942" s="3" t="inlineStr">
        <is>
          <t>TestLifecycleActions</t>
        </is>
      </c>
      <c r="E942" s="3" t="inlineStr">
        <is>
          <t>test_a_reviewer_returns_a_document_to_drafting</t>
        </is>
      </c>
      <c r="F942" s="3" t="inlineStr">
        <is>
          <t>whole class</t>
        </is>
      </c>
      <c r="G942" s="2" t="n">
        <v>8</v>
      </c>
      <c r="H942" s="2" t="n">
        <v>8</v>
      </c>
      <c r="I942" s="3" t="inlineStr">
        <is>
          <t>consilium/policy/tests/test_portal_actions.py</t>
        </is>
      </c>
    </row>
    <row r="943" ht="17" customHeight="1">
      <c r="A943" s="2" t="inlineStr">
        <is>
          <t>P-25</t>
        </is>
      </c>
      <c r="B943" s="3" t="inlineStr">
        <is>
          <t>POL</t>
        </is>
      </c>
      <c r="C943" s="3" t="inlineStr">
        <is>
          <t>policy.tests.test_portal_actions</t>
        </is>
      </c>
      <c r="D943" s="3" t="inlineStr">
        <is>
          <t>TestLifecycleActions</t>
        </is>
      </c>
      <c r="E943" s="3" t="inlineStr">
        <is>
          <t>test_a_failing_gate_is_shown_before_and_refused_after</t>
        </is>
      </c>
      <c r="F943" s="3" t="inlineStr">
        <is>
          <t>whole class</t>
        </is>
      </c>
      <c r="G943" s="2" t="n">
        <v>8</v>
      </c>
      <c r="H943" s="2" t="n">
        <v>8</v>
      </c>
      <c r="I943" s="3" t="inlineStr">
        <is>
          <t>consilium/policy/tests/test_portal_actions.py</t>
        </is>
      </c>
    </row>
    <row r="944" ht="17" customHeight="1">
      <c r="A944" s="2" t="inlineStr">
        <is>
          <t>P-25</t>
        </is>
      </c>
      <c r="B944" s="3" t="inlineStr">
        <is>
          <t>POL</t>
        </is>
      </c>
      <c r="C944" s="3" t="inlineStr">
        <is>
          <t>policy.tests.test_portal_actions</t>
        </is>
      </c>
      <c r="D944" s="3" t="inlineStr">
        <is>
          <t>TestLifecycleActions</t>
        </is>
      </c>
      <c r="E944" s="3" t="inlineStr">
        <is>
          <t>test_an_approved_exception_authorisation_excuses_the_gate</t>
        </is>
      </c>
      <c r="F944" s="3" t="inlineStr">
        <is>
          <t>whole class</t>
        </is>
      </c>
      <c r="G944" s="2" t="n">
        <v>8</v>
      </c>
      <c r="H944" s="2" t="n">
        <v>8</v>
      </c>
      <c r="I944" s="3" t="inlineStr">
        <is>
          <t>consilium/policy/tests/test_portal_actions.py</t>
        </is>
      </c>
    </row>
    <row r="945" ht="30" customHeight="1">
      <c r="A945" s="2" t="inlineStr">
        <is>
          <t>P-25</t>
        </is>
      </c>
      <c r="B945" s="3" t="inlineStr">
        <is>
          <t>POL</t>
        </is>
      </c>
      <c r="C945" s="3" t="inlineStr">
        <is>
          <t>policy.tests.test_portal_actions</t>
        </is>
      </c>
      <c r="D945" s="3" t="inlineStr">
        <is>
          <t>TestLifecycleActions</t>
        </is>
      </c>
      <c r="E945" s="3" t="inlineStr">
        <is>
          <t>test_an_unapproved_exception_authorisation_is_not_accepted</t>
        </is>
      </c>
      <c r="F945" s="3" t="inlineStr">
        <is>
          <t>whole class</t>
        </is>
      </c>
      <c r="G945" s="2" t="n">
        <v>8</v>
      </c>
      <c r="H945" s="2" t="n">
        <v>8</v>
      </c>
      <c r="I945" s="3" t="inlineStr">
        <is>
          <t>consilium/policy/tests/test_portal_actions.py</t>
        </is>
      </c>
    </row>
    <row r="946" ht="17" customHeight="1">
      <c r="A946" s="2" t="inlineStr">
        <is>
          <t>P-25</t>
        </is>
      </c>
      <c r="B946" s="3" t="inlineStr">
        <is>
          <t>POL</t>
        </is>
      </c>
      <c r="C946" s="3" t="inlineStr">
        <is>
          <t>policy.tests.test_portal_actions</t>
        </is>
      </c>
      <c r="D946" s="3" t="inlineStr">
        <is>
          <t>TestLifecycleActions</t>
        </is>
      </c>
      <c r="E946" s="3" t="inlineStr">
        <is>
          <t>test_a_stranger_sees_nothing</t>
        </is>
      </c>
      <c r="F946" s="3" t="inlineStr">
        <is>
          <t>whole class</t>
        </is>
      </c>
      <c r="G946" s="2" t="n">
        <v>8</v>
      </c>
      <c r="H946" s="2" t="n">
        <v>8</v>
      </c>
      <c r="I946" s="3" t="inlineStr">
        <is>
          <t>consilium/policy/tests/test_portal_actions.py</t>
        </is>
      </c>
    </row>
    <row r="947" ht="17" customHeight="1">
      <c r="A947" s="2" t="inlineStr">
        <is>
          <t>P-25</t>
        </is>
      </c>
      <c r="B947" s="3" t="inlineStr">
        <is>
          <t>POL</t>
        </is>
      </c>
      <c r="C947" s="3" t="inlineStr">
        <is>
          <t>policy.tests.test_wave3_policy</t>
        </is>
      </c>
      <c r="D947" s="3" t="inlineStr">
        <is>
          <t>TestDocumentStepOrder</t>
        </is>
      </c>
      <c r="E947" s="3" t="inlineStr">
        <is>
          <t>test_the_screen_holds_back_a_step_behind_an_open_one</t>
        </is>
      </c>
      <c r="F947" s="3" t="inlineStr">
        <is>
          <t>whole class</t>
        </is>
      </c>
      <c r="G947" s="2" t="n">
        <v>1</v>
      </c>
      <c r="H947" s="2" t="n">
        <v>1</v>
      </c>
      <c r="I947" s="3" t="inlineStr">
        <is>
          <t>consilium/policy/tests/test_wave3_policy.py</t>
        </is>
      </c>
    </row>
    <row r="948" ht="30" customHeight="1">
      <c r="A948" s="2" t="inlineStr">
        <is>
          <t>P-26</t>
        </is>
      </c>
      <c r="B948" s="3" t="inlineStr">
        <is>
          <t>POL</t>
        </is>
      </c>
      <c r="C948" s="3" t="inlineStr">
        <is>
          <t>policy.tests.test_wave3</t>
        </is>
      </c>
      <c r="D948" s="3" t="inlineStr">
        <is>
          <t>TestReviewerReturn</t>
        </is>
      </c>
      <c r="E948" s="3" t="inlineStr">
        <is>
          <t>test_the_review_state_is_edited_by_the_owner_not_the_reviewer</t>
        </is>
      </c>
      <c r="F948" s="3" t="inlineStr">
        <is>
          <t>whole class</t>
        </is>
      </c>
      <c r="G948" s="2" t="n">
        <v>4</v>
      </c>
      <c r="H948" s="2" t="n">
        <v>4</v>
      </c>
      <c r="I948" s="3" t="inlineStr">
        <is>
          <t>consilium/policy/tests/test_wave3.py</t>
        </is>
      </c>
    </row>
    <row r="949" ht="30" customHeight="1">
      <c r="A949" s="2" t="inlineStr">
        <is>
          <t>P-26</t>
        </is>
      </c>
      <c r="B949" s="3" t="inlineStr">
        <is>
          <t>POL</t>
        </is>
      </c>
      <c r="C949" s="3" t="inlineStr">
        <is>
          <t>policy.tests.test_wave3</t>
        </is>
      </c>
      <c r="D949" s="3" t="inlineStr">
        <is>
          <t>TestReviewerReturn</t>
        </is>
      </c>
      <c r="E949" s="3" t="inlineStr">
        <is>
          <t>test_a_reviewer_returns_with_comments_and_the_owner_is_told</t>
        </is>
      </c>
      <c r="F949" s="3" t="inlineStr">
        <is>
          <t>whole class</t>
        </is>
      </c>
      <c r="G949" s="2" t="n">
        <v>4</v>
      </c>
      <c r="H949" s="2" t="n">
        <v>4</v>
      </c>
      <c r="I949" s="3" t="inlineStr">
        <is>
          <t>consilium/policy/tests/test_wave3.py</t>
        </is>
      </c>
    </row>
    <row r="950" ht="17" customHeight="1">
      <c r="A950" s="2" t="inlineStr">
        <is>
          <t>P-26</t>
        </is>
      </c>
      <c r="B950" s="3" t="inlineStr">
        <is>
          <t>POL</t>
        </is>
      </c>
      <c r="C950" s="3" t="inlineStr">
        <is>
          <t>policy.tests.test_wave3</t>
        </is>
      </c>
      <c r="D950" s="3" t="inlineStr">
        <is>
          <t>TestReviewerReturn</t>
        </is>
      </c>
      <c r="E950" s="3" t="inlineStr">
        <is>
          <t>test_a_reviewer_cannot_edit_the_content</t>
        </is>
      </c>
      <c r="F950" s="3" t="inlineStr">
        <is>
          <t>whole class</t>
        </is>
      </c>
      <c r="G950" s="2" t="n">
        <v>4</v>
      </c>
      <c r="H950" s="2" t="n">
        <v>4</v>
      </c>
      <c r="I950" s="3" t="inlineStr">
        <is>
          <t>consilium/policy/tests/test_wave3.py</t>
        </is>
      </c>
    </row>
    <row r="951" ht="17" customHeight="1">
      <c r="A951" s="2" t="inlineStr">
        <is>
          <t>P-26</t>
        </is>
      </c>
      <c r="B951" s="3" t="inlineStr">
        <is>
          <t>POL</t>
        </is>
      </c>
      <c r="C951" s="3" t="inlineStr">
        <is>
          <t>policy.tests.test_wave3</t>
        </is>
      </c>
      <c r="D951" s="3" t="inlineStr">
        <is>
          <t>TestReviewerReturn</t>
        </is>
      </c>
      <c r="E951" s="3" t="inlineStr">
        <is>
          <t>test_accepting_a_review_records_it</t>
        </is>
      </c>
      <c r="F951" s="3" t="inlineStr">
        <is>
          <t>whole class</t>
        </is>
      </c>
      <c r="G951" s="2" t="n">
        <v>4</v>
      </c>
      <c r="H951" s="2" t="n">
        <v>4</v>
      </c>
      <c r="I951" s="3" t="inlineStr">
        <is>
          <t>consilium/policy/tests/test_wave3.py</t>
        </is>
      </c>
    </row>
    <row r="952" ht="17" customHeight="1">
      <c r="A952" s="2" t="inlineStr">
        <is>
          <t>P-26</t>
        </is>
      </c>
      <c r="B952" s="3" t="inlineStr">
        <is>
          <t>POL</t>
        </is>
      </c>
      <c r="C952" s="3" t="inlineStr">
        <is>
          <t>policy.tests.test_portal_actions</t>
        </is>
      </c>
      <c r="D952" s="3" t="inlineStr">
        <is>
          <t>TestLifecycleActions</t>
        </is>
      </c>
      <c r="E952" s="3" t="inlineStr">
        <is>
          <t>test_a_reviewer_returns_a_document_to_drafting</t>
        </is>
      </c>
      <c r="F952" s="3" t="inlineStr">
        <is>
          <t>named method</t>
        </is>
      </c>
      <c r="G952" s="2" t="n"/>
      <c r="H952" s="2" t="n">
        <v>1</v>
      </c>
      <c r="I952" s="3" t="inlineStr">
        <is>
          <t>consilium/policy/tests/test_portal_actions.py</t>
        </is>
      </c>
    </row>
    <row r="953" ht="30" customHeight="1">
      <c r="A953" s="2" t="inlineStr">
        <is>
          <t>P-26</t>
        </is>
      </c>
      <c r="B953" s="3" t="inlineStr">
        <is>
          <t>POL</t>
        </is>
      </c>
      <c r="C953" s="3" t="inlineStr">
        <is>
          <t>policy.tests.test_lifecycle</t>
        </is>
      </c>
      <c r="D953" s="3" t="inlineStr">
        <is>
          <t>TestLifecycleTransitions</t>
        </is>
      </c>
      <c r="E953" s="3" t="inlineStr">
        <is>
          <t>test_a_document_moves_through_drafting_review_and_approval</t>
        </is>
      </c>
      <c r="F953" s="3" t="inlineStr">
        <is>
          <t>whole class</t>
        </is>
      </c>
      <c r="G953" s="2" t="n">
        <v>4</v>
      </c>
      <c r="H953" s="2" t="n">
        <v>4</v>
      </c>
      <c r="I953" s="3" t="inlineStr">
        <is>
          <t>consilium/policy/tests/test_lifecycle.py</t>
        </is>
      </c>
    </row>
    <row r="954" ht="17" customHeight="1">
      <c r="A954" s="2" t="inlineStr">
        <is>
          <t>P-26</t>
        </is>
      </c>
      <c r="B954" s="3" t="inlineStr">
        <is>
          <t>POL</t>
        </is>
      </c>
      <c r="C954" s="3" t="inlineStr">
        <is>
          <t>policy.tests.test_lifecycle</t>
        </is>
      </c>
      <c r="D954" s="3" t="inlineStr">
        <is>
          <t>TestLifecycleTransitions</t>
        </is>
      </c>
      <c r="E954" s="3" t="inlineStr">
        <is>
          <t>test_publication_puts_the_document_in_force</t>
        </is>
      </c>
      <c r="F954" s="3" t="inlineStr">
        <is>
          <t>whole class</t>
        </is>
      </c>
      <c r="G954" s="2" t="n">
        <v>4</v>
      </c>
      <c r="H954" s="2" t="n">
        <v>4</v>
      </c>
      <c r="I954" s="3" t="inlineStr">
        <is>
          <t>consilium/policy/tests/test_lifecycle.py</t>
        </is>
      </c>
    </row>
    <row r="955" ht="17" customHeight="1">
      <c r="A955" s="2" t="inlineStr">
        <is>
          <t>P-26</t>
        </is>
      </c>
      <c r="B955" s="3" t="inlineStr">
        <is>
          <t>POL</t>
        </is>
      </c>
      <c r="C955" s="3" t="inlineStr">
        <is>
          <t>policy.tests.test_lifecycle</t>
        </is>
      </c>
      <c r="D955" s="3" t="inlineStr">
        <is>
          <t>TestLifecycleTransitions</t>
        </is>
      </c>
      <c r="E955" s="3" t="inlineStr">
        <is>
          <t>test_retirement_takes_it_out_of_force_and_stamps_the_date</t>
        </is>
      </c>
      <c r="F955" s="3" t="inlineStr">
        <is>
          <t>whole class</t>
        </is>
      </c>
      <c r="G955" s="2" t="n">
        <v>4</v>
      </c>
      <c r="H955" s="2" t="n">
        <v>4</v>
      </c>
      <c r="I955" s="3" t="inlineStr">
        <is>
          <t>consilium/policy/tests/test_lifecycle.py</t>
        </is>
      </c>
    </row>
    <row r="956" ht="17" customHeight="1">
      <c r="A956" s="2" t="inlineStr">
        <is>
          <t>P-26</t>
        </is>
      </c>
      <c r="B956" s="3" t="inlineStr">
        <is>
          <t>POL</t>
        </is>
      </c>
      <c r="C956" s="3" t="inlineStr">
        <is>
          <t>policy.tests.test_lifecycle</t>
        </is>
      </c>
      <c r="D956" s="3" t="inlineStr">
        <is>
          <t>TestLifecycleTransitions</t>
        </is>
      </c>
      <c r="E956" s="3" t="inlineStr">
        <is>
          <t>test_reopening_makes_it_editable_again</t>
        </is>
      </c>
      <c r="F956" s="3" t="inlineStr">
        <is>
          <t>whole class</t>
        </is>
      </c>
      <c r="G956" s="2" t="n">
        <v>4</v>
      </c>
      <c r="H956" s="2" t="n">
        <v>4</v>
      </c>
      <c r="I956" s="3" t="inlineStr">
        <is>
          <t>consilium/policy/tests/test_lifecycle.py</t>
        </is>
      </c>
    </row>
    <row r="957" ht="17" customHeight="1">
      <c r="A957" s="2" t="inlineStr">
        <is>
          <t>E-1</t>
        </is>
      </c>
      <c r="B957" s="3" t="inlineStr">
        <is>
          <t>ESC</t>
        </is>
      </c>
      <c r="C957" s="3" t="inlineStr">
        <is>
          <t>escalation.tests.test_entities</t>
        </is>
      </c>
      <c r="D957" s="3" t="inlineStr">
        <is>
          <t>TestEscalationMatter</t>
        </is>
      </c>
      <c r="E957" s="3" t="inlineStr">
        <is>
          <t>test_create_read_update</t>
        </is>
      </c>
      <c r="F957" s="3" t="inlineStr">
        <is>
          <t>whole class</t>
        </is>
      </c>
      <c r="G957" s="2" t="n">
        <v>8</v>
      </c>
      <c r="H957" s="2" t="n">
        <v>8</v>
      </c>
      <c r="I957" s="3" t="inlineStr">
        <is>
          <t>consilium/escalation/tests/test_entities.py</t>
        </is>
      </c>
    </row>
    <row r="958" ht="30" customHeight="1">
      <c r="A958" s="2" t="inlineStr">
        <is>
          <t>E-1</t>
        </is>
      </c>
      <c r="B958" s="3" t="inlineStr">
        <is>
          <t>ESC</t>
        </is>
      </c>
      <c r="C958" s="3" t="inlineStr">
        <is>
          <t>escalation.tests.test_entities</t>
        </is>
      </c>
      <c r="D958" s="3" t="inlineStr">
        <is>
          <t>TestEscalationMatter</t>
        </is>
      </c>
      <c r="E958" s="3" t="inlineStr">
        <is>
          <t>test_identification_and_escalation_dates_are_separate_fields</t>
        </is>
      </c>
      <c r="F958" s="3" t="inlineStr">
        <is>
          <t>whole class</t>
        </is>
      </c>
      <c r="G958" s="2" t="n">
        <v>8</v>
      </c>
      <c r="H958" s="2" t="n">
        <v>8</v>
      </c>
      <c r="I958" s="3" t="inlineStr">
        <is>
          <t>consilium/escalation/tests/test_entities.py</t>
        </is>
      </c>
    </row>
    <row r="959" ht="17" customHeight="1">
      <c r="A959" s="2" t="inlineStr">
        <is>
          <t>E-1</t>
        </is>
      </c>
      <c r="B959" s="3" t="inlineStr">
        <is>
          <t>ESC</t>
        </is>
      </c>
      <c r="C959" s="3" t="inlineStr">
        <is>
          <t>escalation.tests.test_entities</t>
        </is>
      </c>
      <c r="D959" s="3" t="inlineStr">
        <is>
          <t>TestEscalationMatter</t>
        </is>
      </c>
      <c r="E959" s="3" t="inlineStr">
        <is>
          <t>test_forums_and_impacted_entities_are_plural</t>
        </is>
      </c>
      <c r="F959" s="3" t="inlineStr">
        <is>
          <t>whole class</t>
        </is>
      </c>
      <c r="G959" s="2" t="n">
        <v>8</v>
      </c>
      <c r="H959" s="2" t="n">
        <v>8</v>
      </c>
      <c r="I959" s="3" t="inlineStr">
        <is>
          <t>consilium/escalation/tests/test_entities.py</t>
        </is>
      </c>
    </row>
    <row r="960" ht="17" customHeight="1">
      <c r="A960" s="2" t="inlineStr">
        <is>
          <t>E-1</t>
        </is>
      </c>
      <c r="B960" s="3" t="inlineStr">
        <is>
          <t>ESC</t>
        </is>
      </c>
      <c r="C960" s="3" t="inlineStr">
        <is>
          <t>escalation.tests.test_entities</t>
        </is>
      </c>
      <c r="D960" s="3" t="inlineStr">
        <is>
          <t>TestEscalationMatter</t>
        </is>
      </c>
      <c r="E960" s="3" t="inlineStr">
        <is>
          <t>test_a_matter_needs_its_mandatory_fields</t>
        </is>
      </c>
      <c r="F960" s="3" t="inlineStr">
        <is>
          <t>whole class</t>
        </is>
      </c>
      <c r="G960" s="2" t="n">
        <v>8</v>
      </c>
      <c r="H960" s="2" t="n">
        <v>8</v>
      </c>
      <c r="I960" s="3" t="inlineStr">
        <is>
          <t>consilium/escalation/tests/test_entities.py</t>
        </is>
      </c>
    </row>
    <row r="961" ht="17" customHeight="1">
      <c r="A961" s="2" t="inlineStr">
        <is>
          <t>E-1</t>
        </is>
      </c>
      <c r="B961" s="3" t="inlineStr">
        <is>
          <t>ESC</t>
        </is>
      </c>
      <c r="C961" s="3" t="inlineStr">
        <is>
          <t>escalation.tests.test_entities</t>
        </is>
      </c>
      <c r="D961" s="3" t="inlineStr">
        <is>
          <t>TestEscalationMatter</t>
        </is>
      </c>
      <c r="E961" s="3" t="inlineStr">
        <is>
          <t>test_an_unknown_impacted_entity_kind_is_refused</t>
        </is>
      </c>
      <c r="F961" s="3" t="inlineStr">
        <is>
          <t>whole class</t>
        </is>
      </c>
      <c r="G961" s="2" t="n">
        <v>8</v>
      </c>
      <c r="H961" s="2" t="n">
        <v>8</v>
      </c>
      <c r="I961" s="3" t="inlineStr">
        <is>
          <t>consilium/escalation/tests/test_entities.py</t>
        </is>
      </c>
    </row>
    <row r="962" ht="17" customHeight="1">
      <c r="A962" s="2" t="inlineStr">
        <is>
          <t>E-1</t>
        </is>
      </c>
      <c r="B962" s="3" t="inlineStr">
        <is>
          <t>ESC</t>
        </is>
      </c>
      <c r="C962" s="3" t="inlineStr">
        <is>
          <t>escalation.tests.test_entities</t>
        </is>
      </c>
      <c r="D962" s="3" t="inlineStr">
        <is>
          <t>TestEscalationMatter</t>
        </is>
      </c>
      <c r="E962" s="3" t="inlineStr">
        <is>
          <t>test_permissions</t>
        </is>
      </c>
      <c r="F962" s="3" t="inlineStr">
        <is>
          <t>whole class</t>
        </is>
      </c>
      <c r="G962" s="2" t="n">
        <v>8</v>
      </c>
      <c r="H962" s="2" t="n">
        <v>8</v>
      </c>
      <c r="I962" s="3" t="inlineStr">
        <is>
          <t>consilium/escalation/tests/test_entities.py</t>
        </is>
      </c>
    </row>
    <row r="963" ht="17" customHeight="1">
      <c r="A963" s="2" t="inlineStr">
        <is>
          <t>E-1</t>
        </is>
      </c>
      <c r="B963" s="3" t="inlineStr">
        <is>
          <t>ESC</t>
        </is>
      </c>
      <c r="C963" s="3" t="inlineStr">
        <is>
          <t>escalation.tests.test_entities</t>
        </is>
      </c>
      <c r="D963" s="3" t="inlineStr">
        <is>
          <t>TestEscalationMatter</t>
        </is>
      </c>
      <c r="E963" s="3" t="inlineStr">
        <is>
          <t>test_a_role_without_the_right_cannot_write_the_matrix</t>
        </is>
      </c>
      <c r="F963" s="3" t="inlineStr">
        <is>
          <t>whole class</t>
        </is>
      </c>
      <c r="G963" s="2" t="n">
        <v>8</v>
      </c>
      <c r="H963" s="2" t="n">
        <v>8</v>
      </c>
      <c r="I963" s="3" t="inlineStr">
        <is>
          <t>consilium/escalation/tests/test_entities.py</t>
        </is>
      </c>
    </row>
    <row r="964" ht="30" customHeight="1">
      <c r="A964" s="2" t="inlineStr">
        <is>
          <t>E-1</t>
        </is>
      </c>
      <c r="B964" s="3" t="inlineStr">
        <is>
          <t>ESC</t>
        </is>
      </c>
      <c r="C964" s="3" t="inlineStr">
        <is>
          <t>escalation.tests.test_entities</t>
        </is>
      </c>
      <c r="D964" s="3" t="inlineStr">
        <is>
          <t>TestEscalationMatter</t>
        </is>
      </c>
      <c r="E964" s="3" t="inlineStr">
        <is>
          <t>test_creating_a_matter_as_a_role_without_create_is_refused</t>
        </is>
      </c>
      <c r="F964" s="3" t="inlineStr">
        <is>
          <t>whole class</t>
        </is>
      </c>
      <c r="G964" s="2" t="n">
        <v>8</v>
      </c>
      <c r="H964" s="2" t="n">
        <v>8</v>
      </c>
      <c r="I964" s="3" t="inlineStr">
        <is>
          <t>consilium/escalation/tests/test_entities.py</t>
        </is>
      </c>
    </row>
    <row r="965" ht="17" customHeight="1">
      <c r="A965" s="2" t="inlineStr">
        <is>
          <t>E-1</t>
        </is>
      </c>
      <c r="B965" s="3" t="inlineStr">
        <is>
          <t>ESC</t>
        </is>
      </c>
      <c r="C965" s="3" t="inlineStr">
        <is>
          <t>escalation.tests.test_entities</t>
        </is>
      </c>
      <c r="D965" s="3" t="inlineStr">
        <is>
          <t>TestModuleShape</t>
        </is>
      </c>
      <c r="E965" s="3" t="inlineStr">
        <is>
          <t>test_every_entity_belongs_to_the_module</t>
        </is>
      </c>
      <c r="F965" s="3" t="inlineStr">
        <is>
          <t>whole class</t>
        </is>
      </c>
      <c r="G965" s="2" t="n">
        <v>3</v>
      </c>
      <c r="H965" s="2" t="n">
        <v>3</v>
      </c>
      <c r="I965" s="3" t="inlineStr">
        <is>
          <t>consilium/escalation/tests/test_entities.py</t>
        </is>
      </c>
    </row>
    <row r="966" ht="17" customHeight="1">
      <c r="A966" s="2" t="inlineStr">
        <is>
          <t>E-1</t>
        </is>
      </c>
      <c r="B966" s="3" t="inlineStr">
        <is>
          <t>ESC</t>
        </is>
      </c>
      <c r="C966" s="3" t="inlineStr">
        <is>
          <t>escalation.tests.test_entities</t>
        </is>
      </c>
      <c r="D966" s="3" t="inlineStr">
        <is>
          <t>TestModuleShape</t>
        </is>
      </c>
      <c r="E966" s="3" t="inlineStr">
        <is>
          <t>test_every_standalone_entity_has_permission_rows</t>
        </is>
      </c>
      <c r="F966" s="3" t="inlineStr">
        <is>
          <t>whole class</t>
        </is>
      </c>
      <c r="G966" s="2" t="n">
        <v>3</v>
      </c>
      <c r="H966" s="2" t="n">
        <v>3</v>
      </c>
      <c r="I966" s="3" t="inlineStr">
        <is>
          <t>consilium/escalation/tests/test_entities.py</t>
        </is>
      </c>
    </row>
    <row r="967" ht="17" customHeight="1">
      <c r="A967" s="2" t="inlineStr">
        <is>
          <t>E-1</t>
        </is>
      </c>
      <c r="B967" s="3" t="inlineStr">
        <is>
          <t>ESC</t>
        </is>
      </c>
      <c r="C967" s="3" t="inlineStr">
        <is>
          <t>escalation.tests.test_entities</t>
        </is>
      </c>
      <c r="D967" s="3" t="inlineStr">
        <is>
          <t>TestModuleShape</t>
        </is>
      </c>
      <c r="E967" s="3" t="inlineStr">
        <is>
          <t>test_every_entity_tracks_changes</t>
        </is>
      </c>
      <c r="F967" s="3" t="inlineStr">
        <is>
          <t>whole class</t>
        </is>
      </c>
      <c r="G967" s="2" t="n">
        <v>3</v>
      </c>
      <c r="H967" s="2" t="n">
        <v>3</v>
      </c>
      <c r="I967" s="3" t="inlineStr">
        <is>
          <t>consilium/escalation/tests/test_entities.py</t>
        </is>
      </c>
    </row>
    <row r="968" ht="17" customHeight="1">
      <c r="A968" s="2" t="inlineStr">
        <is>
          <t>E-1</t>
        </is>
      </c>
      <c r="B968" s="3" t="inlineStr">
        <is>
          <t>ESC</t>
        </is>
      </c>
      <c r="C968" s="3" t="inlineStr">
        <is>
          <t>escalation.tests.test_portal_actions</t>
        </is>
      </c>
      <c r="D968" s="3" t="inlineStr">
        <is>
          <t>TestRaise</t>
        </is>
      </c>
      <c r="E968" s="3" t="inlineStr">
        <is>
          <t>test_a_chosen_severity_is_recorded_as_an_override</t>
        </is>
      </c>
      <c r="F968" s="3" t="inlineStr">
        <is>
          <t>whole class</t>
        </is>
      </c>
      <c r="G968" s="2" t="n">
        <v>6</v>
      </c>
      <c r="H968" s="2" t="n">
        <v>6</v>
      </c>
      <c r="I968" s="3" t="inlineStr">
        <is>
          <t>consilium/escalation/tests/test_portal_actions.py</t>
        </is>
      </c>
    </row>
    <row r="969" ht="17" customHeight="1">
      <c r="A969" s="2" t="inlineStr">
        <is>
          <t>E-1</t>
        </is>
      </c>
      <c r="B969" s="3" t="inlineStr">
        <is>
          <t>ESC</t>
        </is>
      </c>
      <c r="C969" s="3" t="inlineStr">
        <is>
          <t>escalation.tests.test_portal_actions</t>
        </is>
      </c>
      <c r="D969" s="3" t="inlineStr">
        <is>
          <t>TestRaise</t>
        </is>
      </c>
      <c r="E969" s="3" t="inlineStr">
        <is>
          <t>test_the_matrix_sets_the_severity_when_none_is_chosen</t>
        </is>
      </c>
      <c r="F969" s="3" t="inlineStr">
        <is>
          <t>whole class</t>
        </is>
      </c>
      <c r="G969" s="2" t="n">
        <v>6</v>
      </c>
      <c r="H969" s="2" t="n">
        <v>6</v>
      </c>
      <c r="I969" s="3" t="inlineStr">
        <is>
          <t>consilium/escalation/tests/test_portal_actions.py</t>
        </is>
      </c>
    </row>
    <row r="970" ht="17" customHeight="1">
      <c r="A970" s="2" t="inlineStr">
        <is>
          <t>E-1</t>
        </is>
      </c>
      <c r="B970" s="3" t="inlineStr">
        <is>
          <t>ESC</t>
        </is>
      </c>
      <c r="C970" s="3" t="inlineStr">
        <is>
          <t>escalation.tests.test_portal_actions</t>
        </is>
      </c>
      <c r="D970" s="3" t="inlineStr">
        <is>
          <t>TestRaise</t>
        </is>
      </c>
      <c r="E970" s="3" t="inlineStr">
        <is>
          <t>test_the_escalation_template_is_enforced</t>
        </is>
      </c>
      <c r="F970" s="3" t="inlineStr">
        <is>
          <t>whole class</t>
        </is>
      </c>
      <c r="G970" s="2" t="n">
        <v>6</v>
      </c>
      <c r="H970" s="2" t="n">
        <v>6</v>
      </c>
      <c r="I970" s="3" t="inlineStr">
        <is>
          <t>consilium/escalation/tests/test_portal_actions.py</t>
        </is>
      </c>
    </row>
    <row r="971" ht="17" customHeight="1">
      <c r="A971" s="2" t="inlineStr">
        <is>
          <t>E-1</t>
        </is>
      </c>
      <c r="B971" s="3" t="inlineStr">
        <is>
          <t>ESC</t>
        </is>
      </c>
      <c r="C971" s="3" t="inlineStr">
        <is>
          <t>escalation.tests.test_portal_actions</t>
        </is>
      </c>
      <c r="D971" s="3" t="inlineStr">
        <is>
          <t>TestRaise</t>
        </is>
      </c>
      <c r="E971" s="3" t="inlineStr">
        <is>
          <t>test_only_a_cleared_person_raises_a_sensitive_matter</t>
        </is>
      </c>
      <c r="F971" s="3" t="inlineStr">
        <is>
          <t>whole class</t>
        </is>
      </c>
      <c r="G971" s="2" t="n">
        <v>6</v>
      </c>
      <c r="H971" s="2" t="n">
        <v>6</v>
      </c>
      <c r="I971" s="3" t="inlineStr">
        <is>
          <t>consilium/escalation/tests/test_portal_actions.py</t>
        </is>
      </c>
    </row>
    <row r="972" ht="17" customHeight="1">
      <c r="A972" s="2" t="inlineStr">
        <is>
          <t>E-1</t>
        </is>
      </c>
      <c r="B972" s="3" t="inlineStr">
        <is>
          <t>ESC</t>
        </is>
      </c>
      <c r="C972" s="3" t="inlineStr">
        <is>
          <t>escalation.tests.test_portal_actions</t>
        </is>
      </c>
      <c r="D972" s="3" t="inlineStr">
        <is>
          <t>TestRaise</t>
        </is>
      </c>
      <c r="E972" s="3" t="inlineStr">
        <is>
          <t>test_someone_who_cannot_create_a_matter_cannot_raise_one</t>
        </is>
      </c>
      <c r="F972" s="3" t="inlineStr">
        <is>
          <t>whole class</t>
        </is>
      </c>
      <c r="G972" s="2" t="n">
        <v>6</v>
      </c>
      <c r="H972" s="2" t="n">
        <v>6</v>
      </c>
      <c r="I972" s="3" t="inlineStr">
        <is>
          <t>consilium/escalation/tests/test_portal_actions.py</t>
        </is>
      </c>
    </row>
    <row r="973" ht="17" customHeight="1">
      <c r="A973" s="2" t="inlineStr">
        <is>
          <t>E-1</t>
        </is>
      </c>
      <c r="B973" s="3" t="inlineStr">
        <is>
          <t>ESC</t>
        </is>
      </c>
      <c r="C973" s="3" t="inlineStr">
        <is>
          <t>escalation.tests.test_portal_actions</t>
        </is>
      </c>
      <c r="D973" s="3" t="inlineStr">
        <is>
          <t>TestRaise</t>
        </is>
      </c>
      <c r="E973" s="3" t="inlineStr">
        <is>
          <t>test_the_form_is_offered_the_configuration</t>
        </is>
      </c>
      <c r="F973" s="3" t="inlineStr">
        <is>
          <t>whole class</t>
        </is>
      </c>
      <c r="G973" s="2" t="n">
        <v>6</v>
      </c>
      <c r="H973" s="2" t="n">
        <v>6</v>
      </c>
      <c r="I973" s="3" t="inlineStr">
        <is>
          <t>consilium/escalation/tests/test_portal_actions.py</t>
        </is>
      </c>
    </row>
    <row r="974" ht="17" customHeight="1">
      <c r="A974" s="2" t="inlineStr">
        <is>
          <t>E-2</t>
        </is>
      </c>
      <c r="B974" s="3" t="inlineStr">
        <is>
          <t>ESC</t>
        </is>
      </c>
      <c r="C974" s="3" t="inlineStr">
        <is>
          <t>consilium_core.tests.test_global_search</t>
        </is>
      </c>
      <c r="D974" s="3" t="inlineStr">
        <is>
          <t>TestGlobalSearch</t>
        </is>
      </c>
      <c r="E974" s="3" t="inlineStr">
        <is>
          <t>test_a_visitor_is_refused</t>
        </is>
      </c>
      <c r="F974" s="3" t="inlineStr">
        <is>
          <t>whole class</t>
        </is>
      </c>
      <c r="G974" s="2" t="n">
        <v>9</v>
      </c>
      <c r="H974" s="2" t="n">
        <v>9</v>
      </c>
      <c r="I974" s="3" t="inlineStr">
        <is>
          <t>consilium/consilium_core/tests/test_global_search.py</t>
        </is>
      </c>
    </row>
    <row r="975" ht="17" customHeight="1">
      <c r="A975" s="2" t="inlineStr">
        <is>
          <t>E-2</t>
        </is>
      </c>
      <c r="B975" s="3" t="inlineStr">
        <is>
          <t>ESC</t>
        </is>
      </c>
      <c r="C975" s="3" t="inlineStr">
        <is>
          <t>consilium_core.tests.test_global_search</t>
        </is>
      </c>
      <c r="D975" s="3" t="inlineStr">
        <is>
          <t>TestGlobalSearch</t>
        </is>
      </c>
      <c r="E975" s="3" t="inlineStr">
        <is>
          <t>test_a_sensitive_matter_reaches_only_the_cleared</t>
        </is>
      </c>
      <c r="F975" s="3" t="inlineStr">
        <is>
          <t>whole class</t>
        </is>
      </c>
      <c r="G975" s="2" t="n">
        <v>9</v>
      </c>
      <c r="H975" s="2" t="n">
        <v>9</v>
      </c>
      <c r="I975" s="3" t="inlineStr">
        <is>
          <t>consilium/consilium_core/tests/test_global_search.py</t>
        </is>
      </c>
    </row>
    <row r="976" ht="17" customHeight="1">
      <c r="A976" s="2" t="inlineStr">
        <is>
          <t>E-2</t>
        </is>
      </c>
      <c r="B976" s="3" t="inlineStr">
        <is>
          <t>ESC</t>
        </is>
      </c>
      <c r="C976" s="3" t="inlineStr">
        <is>
          <t>consilium_core.tests.test_global_search</t>
        </is>
      </c>
      <c r="D976" s="3" t="inlineStr">
        <is>
          <t>TestGlobalSearch</t>
        </is>
      </c>
      <c r="E976" s="3" t="inlineStr">
        <is>
          <t>test_a_reference_finds_the_record_but_not_a_hidden_one</t>
        </is>
      </c>
      <c r="F976" s="3" t="inlineStr">
        <is>
          <t>whole class</t>
        </is>
      </c>
      <c r="G976" s="2" t="n">
        <v>9</v>
      </c>
      <c r="H976" s="2" t="n">
        <v>9</v>
      </c>
      <c r="I976" s="3" t="inlineStr">
        <is>
          <t>consilium/consilium_core/tests/test_global_search.py</t>
        </is>
      </c>
    </row>
    <row r="977" ht="17" customHeight="1">
      <c r="A977" s="2" t="inlineStr">
        <is>
          <t>E-2</t>
        </is>
      </c>
      <c r="B977" s="3" t="inlineStr">
        <is>
          <t>ESC</t>
        </is>
      </c>
      <c r="C977" s="3" t="inlineStr">
        <is>
          <t>consilium_core.tests.test_global_search</t>
        </is>
      </c>
      <c r="D977" s="3" t="inlineStr">
        <is>
          <t>TestGlobalSearch</t>
        </is>
      </c>
      <c r="E977" s="3" t="inlineStr">
        <is>
          <t>test_a_type_the_person_may_not_read_is_left_out</t>
        </is>
      </c>
      <c r="F977" s="3" t="inlineStr">
        <is>
          <t>whole class</t>
        </is>
      </c>
      <c r="G977" s="2" t="n">
        <v>9</v>
      </c>
      <c r="H977" s="2" t="n">
        <v>9</v>
      </c>
      <c r="I977" s="3" t="inlineStr">
        <is>
          <t>consilium/consilium_core/tests/test_global_search.py</t>
        </is>
      </c>
    </row>
    <row r="978" ht="17" customHeight="1">
      <c r="A978" s="2" t="inlineStr">
        <is>
          <t>E-2</t>
        </is>
      </c>
      <c r="B978" s="3" t="inlineStr">
        <is>
          <t>ESC</t>
        </is>
      </c>
      <c r="C978" s="3" t="inlineStr">
        <is>
          <t>consilium_core.tests.test_global_search</t>
        </is>
      </c>
      <c r="D978" s="3" t="inlineStr">
        <is>
          <t>TestGlobalSearch</t>
        </is>
      </c>
      <c r="E978" s="3" t="inlineStr">
        <is>
          <t>test_short_and_wildcard_queries_match_nothing_extra</t>
        </is>
      </c>
      <c r="F978" s="3" t="inlineStr">
        <is>
          <t>whole class</t>
        </is>
      </c>
      <c r="G978" s="2" t="n">
        <v>9</v>
      </c>
      <c r="H978" s="2" t="n">
        <v>9</v>
      </c>
      <c r="I978" s="3" t="inlineStr">
        <is>
          <t>consilium/consilium_core/tests/test_global_search.py</t>
        </is>
      </c>
    </row>
    <row r="979" ht="17" customHeight="1">
      <c r="A979" s="2" t="inlineStr">
        <is>
          <t>E-2</t>
        </is>
      </c>
      <c r="B979" s="3" t="inlineStr">
        <is>
          <t>ESC</t>
        </is>
      </c>
      <c r="C979" s="3" t="inlineStr">
        <is>
          <t>consilium_core.tests.test_global_search</t>
        </is>
      </c>
      <c r="D979" s="3" t="inlineStr">
        <is>
          <t>TestGlobalSearch</t>
        </is>
      </c>
      <c r="E979" s="3" t="inlineStr">
        <is>
          <t>test_matching_ignores_case</t>
        </is>
      </c>
      <c r="F979" s="3" t="inlineStr">
        <is>
          <t>whole class</t>
        </is>
      </c>
      <c r="G979" s="2" t="n">
        <v>9</v>
      </c>
      <c r="H979" s="2" t="n">
        <v>9</v>
      </c>
      <c r="I979" s="3" t="inlineStr">
        <is>
          <t>consilium/consilium_core/tests/test_global_search.py</t>
        </is>
      </c>
    </row>
    <row r="980" ht="17" customHeight="1">
      <c r="A980" s="2" t="inlineStr">
        <is>
          <t>E-2</t>
        </is>
      </c>
      <c r="B980" s="3" t="inlineStr">
        <is>
          <t>ESC</t>
        </is>
      </c>
      <c r="C980" s="3" t="inlineStr">
        <is>
          <t>consilium_core.tests.test_global_search</t>
        </is>
      </c>
      <c r="D980" s="3" t="inlineStr">
        <is>
          <t>TestGlobalSearch</t>
        </is>
      </c>
      <c r="E980" s="3" t="inlineStr">
        <is>
          <t>test_results_say_where_they_open_and_the_limit_holds</t>
        </is>
      </c>
      <c r="F980" s="3" t="inlineStr">
        <is>
          <t>whole class</t>
        </is>
      </c>
      <c r="G980" s="2" t="n">
        <v>9</v>
      </c>
      <c r="H980" s="2" t="n">
        <v>9</v>
      </c>
      <c r="I980" s="3" t="inlineStr">
        <is>
          <t>consilium/consilium_core/tests/test_global_search.py</t>
        </is>
      </c>
    </row>
    <row r="981" ht="17" customHeight="1">
      <c r="A981" s="2" t="inlineStr">
        <is>
          <t>E-2</t>
        </is>
      </c>
      <c r="B981" s="3" t="inlineStr">
        <is>
          <t>ESC</t>
        </is>
      </c>
      <c r="C981" s="3" t="inlineStr">
        <is>
          <t>consilium_core.tests.test_global_search</t>
        </is>
      </c>
      <c r="D981" s="3" t="inlineStr">
        <is>
          <t>TestGlobalSearch</t>
        </is>
      </c>
      <c r="E981" s="3" t="inlineStr">
        <is>
          <t>test_the_limit_is_capped</t>
        </is>
      </c>
      <c r="F981" s="3" t="inlineStr">
        <is>
          <t>whole class</t>
        </is>
      </c>
      <c r="G981" s="2" t="n">
        <v>9</v>
      </c>
      <c r="H981" s="2" t="n">
        <v>9</v>
      </c>
      <c r="I981" s="3" t="inlineStr">
        <is>
          <t>consilium/consilium_core/tests/test_global_search.py</t>
        </is>
      </c>
    </row>
    <row r="982" ht="17" customHeight="1">
      <c r="A982" s="2" t="inlineStr">
        <is>
          <t>E-2</t>
        </is>
      </c>
      <c r="B982" s="3" t="inlineStr">
        <is>
          <t>ESC</t>
        </is>
      </c>
      <c r="C982" s="3" t="inlineStr">
        <is>
          <t>consilium_core.tests.test_global_search</t>
        </is>
      </c>
      <c r="D982" s="3" t="inlineStr">
        <is>
          <t>TestGlobalSearch</t>
        </is>
      </c>
      <c r="E982" s="3" t="inlineStr">
        <is>
          <t>test_it_is_a_get_endpoint</t>
        </is>
      </c>
      <c r="F982" s="3" t="inlineStr">
        <is>
          <t>whole class</t>
        </is>
      </c>
      <c r="G982" s="2" t="n">
        <v>9</v>
      </c>
      <c r="H982" s="2" t="n">
        <v>9</v>
      </c>
      <c r="I982" s="3" t="inlineStr">
        <is>
          <t>consilium/consilium_core/tests/test_global_search.py</t>
        </is>
      </c>
    </row>
    <row r="983" ht="17" customHeight="1">
      <c r="A983" s="2" t="inlineStr">
        <is>
          <t>E-2</t>
        </is>
      </c>
      <c r="B983" s="3" t="inlineStr">
        <is>
          <t>ESC</t>
        </is>
      </c>
      <c r="C983" s="3" t="inlineStr">
        <is>
          <t>escalation.tests.test_sensitivity</t>
        </is>
      </c>
      <c r="D983" s="3" t="inlineStr">
        <is>
          <t>TestSensitiveMatters</t>
        </is>
      </c>
      <c r="E983" s="3" t="inlineStr">
        <is>
          <t>test_the_api_list_hides_a_sensitive_matter</t>
        </is>
      </c>
      <c r="F983" s="3" t="inlineStr">
        <is>
          <t>named method</t>
        </is>
      </c>
      <c r="G983" s="2" t="n"/>
      <c r="H983" s="2" t="n">
        <v>1</v>
      </c>
      <c r="I983" s="3" t="inlineStr">
        <is>
          <t>consilium/escalation/tests/test_sensitivity.py</t>
        </is>
      </c>
    </row>
    <row r="984" ht="30" customHeight="1">
      <c r="A984" s="2" t="inlineStr">
        <is>
          <t>E-2</t>
        </is>
      </c>
      <c r="B984" s="3" t="inlineStr">
        <is>
          <t>ESC</t>
        </is>
      </c>
      <c r="C984" s="3" t="inlineStr">
        <is>
          <t>escalation.tests.test_sensitivity</t>
        </is>
      </c>
      <c r="D984" s="3" t="inlineStr">
        <is>
          <t>TestSensitiveMatters</t>
        </is>
      </c>
      <c r="E984" s="3" t="inlineStr">
        <is>
          <t>test_a_filtered_api_read_cannot_be_used_to_confirm_existence</t>
        </is>
      </c>
      <c r="F984" s="3" t="inlineStr">
        <is>
          <t>named method</t>
        </is>
      </c>
      <c r="G984" s="2" t="n"/>
      <c r="H984" s="2" t="n">
        <v>1</v>
      </c>
      <c r="I984" s="3" t="inlineStr">
        <is>
          <t>consilium/escalation/tests/test_sensitivity.py</t>
        </is>
      </c>
    </row>
    <row r="985" ht="17" customHeight="1">
      <c r="A985" s="2" t="inlineStr">
        <is>
          <t>E-2</t>
        </is>
      </c>
      <c r="B985" s="3" t="inlineStr">
        <is>
          <t>ESC</t>
        </is>
      </c>
      <c r="C985" s="3" t="inlineStr">
        <is>
          <t>consilium_core.tests.test_portal_pages</t>
        </is>
      </c>
      <c r="D985" s="3" t="inlineStr">
        <is>
          <t>TestAdministrator</t>
        </is>
      </c>
      <c r="E985" s="3" t="inlineStr">
        <is>
          <t>test_every_page_renders_with_its_key_sections</t>
        </is>
      </c>
      <c r="F985" s="3" t="inlineStr">
        <is>
          <t>named method</t>
        </is>
      </c>
      <c r="G985" s="2" t="n"/>
      <c r="H985" s="2" t="n">
        <v>1</v>
      </c>
      <c r="I985" s="3" t="inlineStr">
        <is>
          <t>consilium/consilium_core/tests/test_portal_pages.py</t>
        </is>
      </c>
    </row>
    <row r="986" ht="30" customHeight="1">
      <c r="A986" s="2" t="inlineStr">
        <is>
          <t>E-3</t>
        </is>
      </c>
      <c r="B986" s="3" t="inlineStr">
        <is>
          <t>ESC</t>
        </is>
      </c>
      <c r="C986" s="3" t="inlineStr">
        <is>
          <t>escalation.tests.test_entities</t>
        </is>
      </c>
      <c r="D986" s="3" t="inlineStr">
        <is>
          <t>TestEscalationMatter</t>
        </is>
      </c>
      <c r="E986" s="3" t="inlineStr">
        <is>
          <t>test_identification_and_escalation_dates_are_separate_fields</t>
        </is>
      </c>
      <c r="F986" s="3" t="inlineStr">
        <is>
          <t>named method</t>
        </is>
      </c>
      <c r="G986" s="2" t="n"/>
      <c r="H986" s="2" t="n">
        <v>1</v>
      </c>
      <c r="I986" s="3" t="inlineStr">
        <is>
          <t>consilium/escalation/tests/test_entities.py</t>
        </is>
      </c>
    </row>
    <row r="987" ht="17" customHeight="1">
      <c r="A987" s="2" t="inlineStr">
        <is>
          <t>E-3</t>
        </is>
      </c>
      <c r="B987" s="3" t="inlineStr">
        <is>
          <t>ESC</t>
        </is>
      </c>
      <c r="C987" s="3" t="inlineStr">
        <is>
          <t>escalation.tests.test_entities</t>
        </is>
      </c>
      <c r="D987" s="3" t="inlineStr">
        <is>
          <t>TestEscalationMatter</t>
        </is>
      </c>
      <c r="E987" s="3" t="inlineStr">
        <is>
          <t>test_forums_and_impacted_entities_are_plural</t>
        </is>
      </c>
      <c r="F987" s="3" t="inlineStr">
        <is>
          <t>named method</t>
        </is>
      </c>
      <c r="G987" s="2" t="n"/>
      <c r="H987" s="2" t="n">
        <v>1</v>
      </c>
      <c r="I987" s="3" t="inlineStr">
        <is>
          <t>consilium/escalation/tests/test_entities.py</t>
        </is>
      </c>
    </row>
    <row r="988" ht="17" customHeight="1">
      <c r="A988" s="2" t="inlineStr">
        <is>
          <t>E-3</t>
        </is>
      </c>
      <c r="B988" s="3" t="inlineStr">
        <is>
          <t>ESC</t>
        </is>
      </c>
      <c r="C988" s="3" t="inlineStr">
        <is>
          <t>escalation.tests.test_entities</t>
        </is>
      </c>
      <c r="D988" s="3" t="inlineStr">
        <is>
          <t>TestEscalationMatter</t>
        </is>
      </c>
      <c r="E988" s="3" t="inlineStr">
        <is>
          <t>test_an_unknown_impacted_entity_kind_is_refused</t>
        </is>
      </c>
      <c r="F988" s="3" t="inlineStr">
        <is>
          <t>named method</t>
        </is>
      </c>
      <c r="G988" s="2" t="n"/>
      <c r="H988" s="2" t="n">
        <v>1</v>
      </c>
      <c r="I988" s="3" t="inlineStr">
        <is>
          <t>consilium/escalation/tests/test_entities.py</t>
        </is>
      </c>
    </row>
    <row r="989" ht="30" customHeight="1">
      <c r="A989" s="2" t="inlineStr">
        <is>
          <t>E-3</t>
        </is>
      </c>
      <c r="B989" s="3" t="inlineStr">
        <is>
          <t>ESC</t>
        </is>
      </c>
      <c r="C989" s="3" t="inlineStr">
        <is>
          <t>escalation.tests.test_assignment_and_timing</t>
        </is>
      </c>
      <c r="D989" s="3" t="inlineStr">
        <is>
          <t>TestRetiredValuesAreNotOffered</t>
        </is>
      </c>
      <c r="E989" s="3" t="inlineStr">
        <is>
          <t>test_a_retired_line_is_neither_offered_nor_accepted</t>
        </is>
      </c>
      <c r="F989" s="3" t="inlineStr">
        <is>
          <t>whole class</t>
        </is>
      </c>
      <c r="G989" s="2" t="n">
        <v>1</v>
      </c>
      <c r="H989" s="2" t="n">
        <v>1</v>
      </c>
      <c r="I989" s="3" t="inlineStr">
        <is>
          <t>consilium/escalation/tests/test_assignment_and_timing.py</t>
        </is>
      </c>
    </row>
    <row r="990" ht="30" customHeight="1">
      <c r="A990" s="2" t="inlineStr">
        <is>
          <t>E-3</t>
        </is>
      </c>
      <c r="B990" s="3" t="inlineStr">
        <is>
          <t>ESC</t>
        </is>
      </c>
      <c r="C990" s="3" t="inlineStr">
        <is>
          <t>consilium_core.tests.test_taxonomy</t>
        </is>
      </c>
      <c r="D990" s="3" t="inlineStr">
        <is>
          <t>TestActiveOnlySearch</t>
        </is>
      </c>
      <c r="E990" s="3" t="inlineStr">
        <is>
          <t>test_the_hook_entry_covers_every_taxonomy_and_each_carries_the_flag</t>
        </is>
      </c>
      <c r="F990" s="3" t="inlineStr">
        <is>
          <t>whole class</t>
        </is>
      </c>
      <c r="G990" s="2" t="n">
        <v>6</v>
      </c>
      <c r="H990" s="2" t="n">
        <v>6</v>
      </c>
      <c r="I990" s="3" t="inlineStr">
        <is>
          <t>consilium/consilium_core/tests/test_taxonomy.py</t>
        </is>
      </c>
    </row>
    <row r="991" ht="17" customHeight="1">
      <c r="A991" s="2" t="inlineStr">
        <is>
          <t>E-3</t>
        </is>
      </c>
      <c r="B991" s="3" t="inlineStr">
        <is>
          <t>ESC</t>
        </is>
      </c>
      <c r="C991" s="3" t="inlineStr">
        <is>
          <t>consilium_core.tests.test_taxonomy</t>
        </is>
      </c>
      <c r="D991" s="3" t="inlineStr">
        <is>
          <t>TestActiveOnlySearch</t>
        </is>
      </c>
      <c r="E991" s="3" t="inlineStr">
        <is>
          <t>test_a_retired_value_is_not_offered_but_a_live_one_is</t>
        </is>
      </c>
      <c r="F991" s="3" t="inlineStr">
        <is>
          <t>whole class</t>
        </is>
      </c>
      <c r="G991" s="2" t="n">
        <v>6</v>
      </c>
      <c r="H991" s="2" t="n">
        <v>6</v>
      </c>
      <c r="I991" s="3" t="inlineStr">
        <is>
          <t>consilium/consilium_core/tests/test_taxonomy.py</t>
        </is>
      </c>
    </row>
    <row r="992" ht="17" customHeight="1">
      <c r="A992" s="2" t="inlineStr">
        <is>
          <t>E-3</t>
        </is>
      </c>
      <c r="B992" s="3" t="inlineStr">
        <is>
          <t>ESC</t>
        </is>
      </c>
      <c r="C992" s="3" t="inlineStr">
        <is>
          <t>consilium_core.tests.test_taxonomy</t>
        </is>
      </c>
      <c r="D992" s="3" t="inlineStr">
        <is>
          <t>TestActiveOnlySearch</t>
        </is>
      </c>
      <c r="E992" s="3" t="inlineStr">
        <is>
          <t>test_through_the_standard_queries_hook</t>
        </is>
      </c>
      <c r="F992" s="3" t="inlineStr">
        <is>
          <t>whole class</t>
        </is>
      </c>
      <c r="G992" s="2" t="n">
        <v>6</v>
      </c>
      <c r="H992" s="2" t="n">
        <v>6</v>
      </c>
      <c r="I992" s="3" t="inlineStr">
        <is>
          <t>consilium/consilium_core/tests/test_taxonomy.py</t>
        </is>
      </c>
    </row>
    <row r="993" ht="30" customHeight="1">
      <c r="A993" s="2" t="inlineStr">
        <is>
          <t>E-3</t>
        </is>
      </c>
      <c r="B993" s="3" t="inlineStr">
        <is>
          <t>ESC</t>
        </is>
      </c>
      <c r="C993" s="3" t="inlineStr">
        <is>
          <t>consilium_core.tests.test_taxonomy</t>
        </is>
      </c>
      <c r="D993" s="3" t="inlineStr">
        <is>
          <t>TestActiveOnlySearch</t>
        </is>
      </c>
      <c r="E993" s="3" t="inlineStr">
        <is>
          <t>test_a_record_made_before_retirement_still_shows_the_value</t>
        </is>
      </c>
      <c r="F993" s="3" t="inlineStr">
        <is>
          <t>whole class</t>
        </is>
      </c>
      <c r="G993" s="2" t="n">
        <v>6</v>
      </c>
      <c r="H993" s="2" t="n">
        <v>6</v>
      </c>
      <c r="I993" s="3" t="inlineStr">
        <is>
          <t>consilium/consilium_core/tests/test_taxonomy.py</t>
        </is>
      </c>
    </row>
    <row r="994" ht="17" customHeight="1">
      <c r="A994" s="2" t="inlineStr">
        <is>
          <t>E-3</t>
        </is>
      </c>
      <c r="B994" s="3" t="inlineStr">
        <is>
          <t>ESC</t>
        </is>
      </c>
      <c r="C994" s="3" t="inlineStr">
        <is>
          <t>consilium_core.tests.test_taxonomy</t>
        </is>
      </c>
      <c r="D994" s="3" t="inlineStr">
        <is>
          <t>TestActiveOnlySearch</t>
        </is>
      </c>
      <c r="E994" s="3" t="inlineStr">
        <is>
          <t>test_a_caller_that_asks_for_retired_values_gets_them</t>
        </is>
      </c>
      <c r="F994" s="3" t="inlineStr">
        <is>
          <t>whole class</t>
        </is>
      </c>
      <c r="G994" s="2" t="n">
        <v>6</v>
      </c>
      <c r="H994" s="2" t="n">
        <v>6</v>
      </c>
      <c r="I994" s="3" t="inlineStr">
        <is>
          <t>consilium/consilium_core/tests/test_taxonomy.py</t>
        </is>
      </c>
    </row>
    <row r="995" ht="17" customHeight="1">
      <c r="A995" s="2" t="inlineStr">
        <is>
          <t>E-3</t>
        </is>
      </c>
      <c r="B995" s="3" t="inlineStr">
        <is>
          <t>ESC</t>
        </is>
      </c>
      <c r="C995" s="3" t="inlineStr">
        <is>
          <t>consilium_core.tests.test_taxonomy</t>
        </is>
      </c>
      <c r="D995" s="3" t="inlineStr">
        <is>
          <t>TestActiveOnlySearch</t>
        </is>
      </c>
      <c r="E995" s="3" t="inlineStr">
        <is>
          <t>test_permissions_still_apply</t>
        </is>
      </c>
      <c r="F995" s="3" t="inlineStr">
        <is>
          <t>whole class</t>
        </is>
      </c>
      <c r="G995" s="2" t="n">
        <v>6</v>
      </c>
      <c r="H995" s="2" t="n">
        <v>6</v>
      </c>
      <c r="I995" s="3" t="inlineStr">
        <is>
          <t>consilium/consilium_core/tests/test_taxonomy.py</t>
        </is>
      </c>
    </row>
    <row r="996" ht="17" customHeight="1">
      <c r="A996" s="2" t="inlineStr">
        <is>
          <t>E-4</t>
        </is>
      </c>
      <c r="B996" s="3" t="inlineStr">
        <is>
          <t>ESC</t>
        </is>
      </c>
      <c r="C996" s="3" t="inlineStr">
        <is>
          <t>escalation.tests.test_routing</t>
        </is>
      </c>
      <c r="D996" s="3" t="inlineStr">
        <is>
          <t>TestRouting</t>
        </is>
      </c>
      <c r="E996" s="3" t="inlineStr">
        <is>
          <t>test_a_matter_of_a_given_type_proposes_its_destination</t>
        </is>
      </c>
      <c r="F996" s="3" t="inlineStr">
        <is>
          <t>whole class</t>
        </is>
      </c>
      <c r="G996" s="2" t="n">
        <v>12</v>
      </c>
      <c r="H996" s="2" t="n">
        <v>12</v>
      </c>
      <c r="I996" s="3" t="inlineStr">
        <is>
          <t>consilium/escalation/tests/test_routing.py</t>
        </is>
      </c>
    </row>
    <row r="997" ht="17" customHeight="1">
      <c r="A997" s="2" t="inlineStr">
        <is>
          <t>E-4</t>
        </is>
      </c>
      <c r="B997" s="3" t="inlineStr">
        <is>
          <t>ESC</t>
        </is>
      </c>
      <c r="C997" s="3" t="inlineStr">
        <is>
          <t>escalation.tests.test_routing</t>
        </is>
      </c>
      <c r="D997" s="3" t="inlineStr">
        <is>
          <t>TestRouting</t>
        </is>
      </c>
      <c r="E997" s="3" t="inlineStr">
        <is>
          <t>test_the_forums_protocol_and_threshold_are_shown</t>
        </is>
      </c>
      <c r="F997" s="3" t="inlineStr">
        <is>
          <t>whole class</t>
        </is>
      </c>
      <c r="G997" s="2" t="n">
        <v>12</v>
      </c>
      <c r="H997" s="2" t="n">
        <v>12</v>
      </c>
      <c r="I997" s="3" t="inlineStr">
        <is>
          <t>consilium/escalation/tests/test_routing.py</t>
        </is>
      </c>
    </row>
    <row r="998" ht="17" customHeight="1">
      <c r="A998" s="2" t="inlineStr">
        <is>
          <t>E-4</t>
        </is>
      </c>
      <c r="B998" s="3" t="inlineStr">
        <is>
          <t>ESC</t>
        </is>
      </c>
      <c r="C998" s="3" t="inlineStr">
        <is>
          <t>escalation.tests.test_routing</t>
        </is>
      </c>
      <c r="D998" s="3" t="inlineStr">
        <is>
          <t>TestRouting</t>
        </is>
      </c>
      <c r="E998" s="3" t="inlineStr">
        <is>
          <t>test_a_manual_override_keeps_the_persons_severity</t>
        </is>
      </c>
      <c r="F998" s="3" t="inlineStr">
        <is>
          <t>whole class</t>
        </is>
      </c>
      <c r="G998" s="2" t="n">
        <v>12</v>
      </c>
      <c r="H998" s="2" t="n">
        <v>12</v>
      </c>
      <c r="I998" s="3" t="inlineStr">
        <is>
          <t>consilium/escalation/tests/test_routing.py</t>
        </is>
      </c>
    </row>
    <row r="999" ht="17" customHeight="1">
      <c r="A999" s="2" t="inlineStr">
        <is>
          <t>E-4</t>
        </is>
      </c>
      <c r="B999" s="3" t="inlineStr">
        <is>
          <t>ESC</t>
        </is>
      </c>
      <c r="C999" s="3" t="inlineStr">
        <is>
          <t>escalation.tests.test_routing</t>
        </is>
      </c>
      <c r="D999" s="3" t="inlineStr">
        <is>
          <t>TestRouting</t>
        </is>
      </c>
      <c r="E999" s="3" t="inlineStr">
        <is>
          <t>test_rules_fire_in_priority_order</t>
        </is>
      </c>
      <c r="F999" s="3" t="inlineStr">
        <is>
          <t>whole class</t>
        </is>
      </c>
      <c r="G999" s="2" t="n">
        <v>12</v>
      </c>
      <c r="H999" s="2" t="n">
        <v>12</v>
      </c>
      <c r="I999" s="3" t="inlineStr">
        <is>
          <t>consilium/escalation/tests/test_routing.py</t>
        </is>
      </c>
    </row>
    <row r="1000" ht="17" customHeight="1">
      <c r="A1000" s="2" t="inlineStr">
        <is>
          <t>E-4</t>
        </is>
      </c>
      <c r="B1000" s="3" t="inlineStr">
        <is>
          <t>ESC</t>
        </is>
      </c>
      <c r="C1000" s="3" t="inlineStr">
        <is>
          <t>escalation.tests.test_routing</t>
        </is>
      </c>
      <c r="D1000" s="3" t="inlineStr">
        <is>
          <t>TestRouting</t>
        </is>
      </c>
      <c r="E1000" s="3" t="inlineStr">
        <is>
          <t>test_severity_is_a_routable_attribute</t>
        </is>
      </c>
      <c r="F1000" s="3" t="inlineStr">
        <is>
          <t>whole class</t>
        </is>
      </c>
      <c r="G1000" s="2" t="n">
        <v>12</v>
      </c>
      <c r="H1000" s="2" t="n">
        <v>12</v>
      </c>
      <c r="I1000" s="3" t="inlineStr">
        <is>
          <t>consilium/escalation/tests/test_routing.py</t>
        </is>
      </c>
    </row>
    <row r="1001" ht="17" customHeight="1">
      <c r="A1001" s="2" t="inlineStr">
        <is>
          <t>E-4</t>
        </is>
      </c>
      <c r="B1001" s="3" t="inlineStr">
        <is>
          <t>ESC</t>
        </is>
      </c>
      <c r="C1001" s="3" t="inlineStr">
        <is>
          <t>escalation.tests.test_routing</t>
        </is>
      </c>
      <c r="D1001" s="3" t="inlineStr">
        <is>
          <t>TestRouting</t>
        </is>
      </c>
      <c r="E1001" s="3" t="inlineStr">
        <is>
          <t>test_a_matrix_out_of_its_effective_window_does_not_fire</t>
        </is>
      </c>
      <c r="F1001" s="3" t="inlineStr">
        <is>
          <t>whole class</t>
        </is>
      </c>
      <c r="G1001" s="2" t="n">
        <v>12</v>
      </c>
      <c r="H1001" s="2" t="n">
        <v>12</v>
      </c>
      <c r="I1001" s="3" t="inlineStr">
        <is>
          <t>consilium/escalation/tests/test_routing.py</t>
        </is>
      </c>
    </row>
    <row r="1002" ht="17" customHeight="1">
      <c r="A1002" s="2" t="inlineStr">
        <is>
          <t>E-4</t>
        </is>
      </c>
      <c r="B1002" s="3" t="inlineStr">
        <is>
          <t>ESC</t>
        </is>
      </c>
      <c r="C1002" s="3" t="inlineStr">
        <is>
          <t>escalation.tests.test_routing</t>
        </is>
      </c>
      <c r="D1002" s="3" t="inlineStr">
        <is>
          <t>TestRouting</t>
        </is>
      </c>
      <c r="E1002" s="3" t="inlineStr">
        <is>
          <t>test_an_inactive_forum_cannot_be_a_destination</t>
        </is>
      </c>
      <c r="F1002" s="3" t="inlineStr">
        <is>
          <t>whole class</t>
        </is>
      </c>
      <c r="G1002" s="2" t="n">
        <v>12</v>
      </c>
      <c r="H1002" s="2" t="n">
        <v>12</v>
      </c>
      <c r="I1002" s="3" t="inlineStr">
        <is>
          <t>consilium/escalation/tests/test_routing.py</t>
        </is>
      </c>
    </row>
    <row r="1003" ht="17" customHeight="1">
      <c r="A1003" s="2" t="inlineStr">
        <is>
          <t>E-4</t>
        </is>
      </c>
      <c r="B1003" s="3" t="inlineStr">
        <is>
          <t>ESC</t>
        </is>
      </c>
      <c r="C1003" s="3" t="inlineStr">
        <is>
          <t>escalation.tests.test_routing</t>
        </is>
      </c>
      <c r="D1003" s="3" t="inlineStr">
        <is>
          <t>TestRouting</t>
        </is>
      </c>
      <c r="E1003" s="3" t="inlineStr">
        <is>
          <t>test_the_same_forum_cannot_appear_twice_on_a_pathway</t>
        </is>
      </c>
      <c r="F1003" s="3" t="inlineStr">
        <is>
          <t>whole class</t>
        </is>
      </c>
      <c r="G1003" s="2" t="n">
        <v>12</v>
      </c>
      <c r="H1003" s="2" t="n">
        <v>12</v>
      </c>
      <c r="I1003" s="3" t="inlineStr">
        <is>
          <t>consilium/escalation/tests/test_routing.py</t>
        </is>
      </c>
    </row>
    <row r="1004" ht="17" customHeight="1">
      <c r="A1004" s="2" t="inlineStr">
        <is>
          <t>E-4</t>
        </is>
      </c>
      <c r="B1004" s="3" t="inlineStr">
        <is>
          <t>ESC</t>
        </is>
      </c>
      <c r="C1004" s="3" t="inlineStr">
        <is>
          <t>escalation.tests.test_routing</t>
        </is>
      </c>
      <c r="D1004" s="3" t="inlineStr">
        <is>
          <t>TestRouting</t>
        </is>
      </c>
      <c r="E1004" s="3" t="inlineStr">
        <is>
          <t>test_a_condition_may_only_test_a_routable_attribute</t>
        </is>
      </c>
      <c r="F1004" s="3" t="inlineStr">
        <is>
          <t>whole class</t>
        </is>
      </c>
      <c r="G1004" s="2" t="n">
        <v>12</v>
      </c>
      <c r="H1004" s="2" t="n">
        <v>12</v>
      </c>
      <c r="I1004" s="3" t="inlineStr">
        <is>
          <t>consilium/escalation/tests/test_routing.py</t>
        </is>
      </c>
    </row>
    <row r="1005" ht="17" customHeight="1">
      <c r="A1005" s="2" t="inlineStr">
        <is>
          <t>E-4</t>
        </is>
      </c>
      <c r="B1005" s="3" t="inlineStr">
        <is>
          <t>ESC</t>
        </is>
      </c>
      <c r="C1005" s="3" t="inlineStr">
        <is>
          <t>escalation.tests.test_routing</t>
        </is>
      </c>
      <c r="D1005" s="3" t="inlineStr">
        <is>
          <t>TestRouting</t>
        </is>
      </c>
      <c r="E1005" s="3" t="inlineStr">
        <is>
          <t>test_a_destination_must_name_a_rule_the_matrix_defines</t>
        </is>
      </c>
      <c r="F1005" s="3" t="inlineStr">
        <is>
          <t>whole class</t>
        </is>
      </c>
      <c r="G1005" s="2" t="n">
        <v>12</v>
      </c>
      <c r="H1005" s="2" t="n">
        <v>12</v>
      </c>
      <c r="I1005" s="3" t="inlineStr">
        <is>
          <t>consilium/escalation/tests/test_routing.py</t>
        </is>
      </c>
    </row>
    <row r="1006" ht="17" customHeight="1">
      <c r="A1006" s="2" t="inlineStr">
        <is>
          <t>E-4</t>
        </is>
      </c>
      <c r="B1006" s="3" t="inlineStr">
        <is>
          <t>ESC</t>
        </is>
      </c>
      <c r="C1006" s="3" t="inlineStr">
        <is>
          <t>escalation.tests.test_routing</t>
        </is>
      </c>
      <c r="D1006" s="3" t="inlineStr">
        <is>
          <t>TestRouting</t>
        </is>
      </c>
      <c r="E1006" s="3" t="inlineStr">
        <is>
          <t>test_a_rule_code_cannot_repeat_within_a_matrix</t>
        </is>
      </c>
      <c r="F1006" s="3" t="inlineStr">
        <is>
          <t>whole class</t>
        </is>
      </c>
      <c r="G1006" s="2" t="n">
        <v>12</v>
      </c>
      <c r="H1006" s="2" t="n">
        <v>12</v>
      </c>
      <c r="I1006" s="3" t="inlineStr">
        <is>
          <t>consilium/escalation/tests/test_routing.py</t>
        </is>
      </c>
    </row>
    <row r="1007" ht="17" customHeight="1">
      <c r="A1007" s="2" t="inlineStr">
        <is>
          <t>E-4</t>
        </is>
      </c>
      <c r="B1007" s="3" t="inlineStr">
        <is>
          <t>ESC</t>
        </is>
      </c>
      <c r="C1007" s="3" t="inlineStr">
        <is>
          <t>escalation.tests.test_routing</t>
        </is>
      </c>
      <c r="D1007" s="3" t="inlineStr">
        <is>
          <t>TestRouting</t>
        </is>
      </c>
      <c r="E1007" s="3" t="inlineStr">
        <is>
          <t>test_matrix_scope_limits_which_matters_it_routes</t>
        </is>
      </c>
      <c r="F1007" s="3" t="inlineStr">
        <is>
          <t>whole class</t>
        </is>
      </c>
      <c r="G1007" s="2" t="n">
        <v>12</v>
      </c>
      <c r="H1007" s="2" t="n">
        <v>12</v>
      </c>
      <c r="I1007" s="3" t="inlineStr">
        <is>
          <t>consilium/escalation/tests/test_routing.py</t>
        </is>
      </c>
    </row>
    <row r="1008" ht="17" customHeight="1">
      <c r="A1008" s="2" t="inlineStr">
        <is>
          <t>E-4</t>
        </is>
      </c>
      <c r="B1008" s="3" t="inlineStr">
        <is>
          <t>ESC</t>
        </is>
      </c>
      <c r="C1008" s="3" t="inlineStr">
        <is>
          <t>escalation.tests.test_portal_actions</t>
        </is>
      </c>
      <c r="D1008" s="3" t="inlineStr">
        <is>
          <t>TestRaise</t>
        </is>
      </c>
      <c r="E1008" s="3" t="inlineStr">
        <is>
          <t>test_the_matrix_sets_the_severity_when_none_is_chosen</t>
        </is>
      </c>
      <c r="F1008" s="3" t="inlineStr">
        <is>
          <t>named method</t>
        </is>
      </c>
      <c r="G1008" s="2" t="n"/>
      <c r="H1008" s="2" t="n">
        <v>1</v>
      </c>
      <c r="I1008" s="3" t="inlineStr">
        <is>
          <t>consilium/escalation/tests/test_portal_actions.py</t>
        </is>
      </c>
    </row>
    <row r="1009" ht="17" customHeight="1">
      <c r="A1009" s="2" t="inlineStr">
        <is>
          <t>E-4</t>
        </is>
      </c>
      <c r="B1009" s="3" t="inlineStr">
        <is>
          <t>ESC</t>
        </is>
      </c>
      <c r="C1009" s="3" t="inlineStr">
        <is>
          <t>escalation.tests.test_portal_actions</t>
        </is>
      </c>
      <c r="D1009" s="3" t="inlineStr">
        <is>
          <t>TestRaise</t>
        </is>
      </c>
      <c r="E1009" s="3" t="inlineStr">
        <is>
          <t>test_a_chosen_severity_is_recorded_as_an_override</t>
        </is>
      </c>
      <c r="F1009" s="3" t="inlineStr">
        <is>
          <t>named method</t>
        </is>
      </c>
      <c r="G1009" s="2" t="n"/>
      <c r="H1009" s="2" t="n">
        <v>1</v>
      </c>
      <c r="I1009" s="3" t="inlineStr">
        <is>
          <t>consilium/escalation/tests/test_portal_actions.py</t>
        </is>
      </c>
    </row>
    <row r="1010" ht="17" customHeight="1">
      <c r="A1010" s="2" t="inlineStr">
        <is>
          <t>E-5</t>
        </is>
      </c>
      <c r="B1010" s="3" t="inlineStr">
        <is>
          <t>ESC</t>
        </is>
      </c>
      <c r="C1010" s="3" t="inlineStr">
        <is>
          <t>escalation.tests.test_templates</t>
        </is>
      </c>
      <c r="D1010" s="3" t="inlineStr">
        <is>
          <t>TestTemplates</t>
        </is>
      </c>
      <c r="E1010" s="3" t="inlineStr">
        <is>
          <t>test_three_templates_share_one_standard_field_set</t>
        </is>
      </c>
      <c r="F1010" s="3" t="inlineStr">
        <is>
          <t>whole class</t>
        </is>
      </c>
      <c r="G1010" s="2" t="n">
        <v>8</v>
      </c>
      <c r="H1010" s="2" t="n">
        <v>8</v>
      </c>
      <c r="I1010" s="3" t="inlineStr">
        <is>
          <t>consilium/escalation/tests/test_templates.py</t>
        </is>
      </c>
    </row>
    <row r="1011" ht="17" customHeight="1">
      <c r="A1011" s="2" t="inlineStr">
        <is>
          <t>E-5</t>
        </is>
      </c>
      <c r="B1011" s="3" t="inlineStr">
        <is>
          <t>ESC</t>
        </is>
      </c>
      <c r="C1011" s="3" t="inlineStr">
        <is>
          <t>escalation.tests.test_templates</t>
        </is>
      </c>
      <c r="D1011" s="3" t="inlineStr">
        <is>
          <t>TestTemplates</t>
        </is>
      </c>
      <c r="E1011" s="3" t="inlineStr">
        <is>
          <t>test_selecting_a_type_applies_its_template</t>
        </is>
      </c>
      <c r="F1011" s="3" t="inlineStr">
        <is>
          <t>whole class</t>
        </is>
      </c>
      <c r="G1011" s="2" t="n">
        <v>8</v>
      </c>
      <c r="H1011" s="2" t="n">
        <v>8</v>
      </c>
      <c r="I1011" s="3" t="inlineStr">
        <is>
          <t>consilium/escalation/tests/test_templates.py</t>
        </is>
      </c>
    </row>
    <row r="1012" ht="17" customHeight="1">
      <c r="A1012" s="2" t="inlineStr">
        <is>
          <t>E-5</t>
        </is>
      </c>
      <c r="B1012" s="3" t="inlineStr">
        <is>
          <t>ESC</t>
        </is>
      </c>
      <c r="C1012" s="3" t="inlineStr">
        <is>
          <t>escalation.tests.test_templates</t>
        </is>
      </c>
      <c r="D1012" s="3" t="inlineStr">
        <is>
          <t>TestTemplates</t>
        </is>
      </c>
      <c r="E1012" s="3" t="inlineStr">
        <is>
          <t>test_a_required_field_is_enforced</t>
        </is>
      </c>
      <c r="F1012" s="3" t="inlineStr">
        <is>
          <t>whole class</t>
        </is>
      </c>
      <c r="G1012" s="2" t="n">
        <v>8</v>
      </c>
      <c r="H1012" s="2" t="n">
        <v>8</v>
      </c>
      <c r="I1012" s="3" t="inlineStr">
        <is>
          <t>consilium/escalation/tests/test_templates.py</t>
        </is>
      </c>
    </row>
    <row r="1013" ht="17" customHeight="1">
      <c r="A1013" s="2" t="inlineStr">
        <is>
          <t>E-5</t>
        </is>
      </c>
      <c r="B1013" s="3" t="inlineStr">
        <is>
          <t>ESC</t>
        </is>
      </c>
      <c r="C1013" s="3" t="inlineStr">
        <is>
          <t>escalation.tests.test_templates</t>
        </is>
      </c>
      <c r="D1013" s="3" t="inlineStr">
        <is>
          <t>TestTemplates</t>
        </is>
      </c>
      <c r="E1013" s="3" t="inlineStr">
        <is>
          <t>test_a_requirement_can_start_at_a_severity</t>
        </is>
      </c>
      <c r="F1013" s="3" t="inlineStr">
        <is>
          <t>whole class</t>
        </is>
      </c>
      <c r="G1013" s="2" t="n">
        <v>8</v>
      </c>
      <c r="H1013" s="2" t="n">
        <v>8</v>
      </c>
      <c r="I1013" s="3" t="inlineStr">
        <is>
          <t>consilium/escalation/tests/test_templates.py</t>
        </is>
      </c>
    </row>
    <row r="1014" ht="30" customHeight="1">
      <c r="A1014" s="2" t="inlineStr">
        <is>
          <t>E-5</t>
        </is>
      </c>
      <c r="B1014" s="3" t="inlineStr">
        <is>
          <t>ESC</t>
        </is>
      </c>
      <c r="C1014" s="3" t="inlineStr">
        <is>
          <t>escalation.tests.test_templates</t>
        </is>
      </c>
      <c r="D1014" s="3" t="inlineStr">
        <is>
          <t>TestTemplates</t>
        </is>
      </c>
      <c r="E1014" s="3" t="inlineStr">
        <is>
          <t>test_action_plan_and_risk_acceptance_have_their_own_templates</t>
        </is>
      </c>
      <c r="F1014" s="3" t="inlineStr">
        <is>
          <t>whole class</t>
        </is>
      </c>
      <c r="G1014" s="2" t="n">
        <v>8</v>
      </c>
      <c r="H1014" s="2" t="n">
        <v>8</v>
      </c>
      <c r="I1014" s="3" t="inlineStr">
        <is>
          <t>consilium/escalation/tests/test_templates.py</t>
        </is>
      </c>
    </row>
    <row r="1015" ht="30" customHeight="1">
      <c r="A1015" s="2" t="inlineStr">
        <is>
          <t>E-5</t>
        </is>
      </c>
      <c r="B1015" s="3" t="inlineStr">
        <is>
          <t>ESC</t>
        </is>
      </c>
      <c r="C1015" s="3" t="inlineStr">
        <is>
          <t>escalation.tests.test_templates</t>
        </is>
      </c>
      <c r="D1015" s="3" t="inlineStr">
        <is>
          <t>TestTemplates</t>
        </is>
      </c>
      <c r="E1015" s="3" t="inlineStr">
        <is>
          <t>test_a_template_cannot_require_a_field_that_does_not_exist</t>
        </is>
      </c>
      <c r="F1015" s="3" t="inlineStr">
        <is>
          <t>whole class</t>
        </is>
      </c>
      <c r="G1015" s="2" t="n">
        <v>8</v>
      </c>
      <c r="H1015" s="2" t="n">
        <v>8</v>
      </c>
      <c r="I1015" s="3" t="inlineStr">
        <is>
          <t>consilium/escalation/tests/test_templates.py</t>
        </is>
      </c>
    </row>
    <row r="1016" ht="17" customHeight="1">
      <c r="A1016" s="2" t="inlineStr">
        <is>
          <t>E-5</t>
        </is>
      </c>
      <c r="B1016" s="3" t="inlineStr">
        <is>
          <t>ESC</t>
        </is>
      </c>
      <c r="C1016" s="3" t="inlineStr">
        <is>
          <t>escalation.tests.test_templates</t>
        </is>
      </c>
      <c r="D1016" s="3" t="inlineStr">
        <is>
          <t>TestTemplates</t>
        </is>
      </c>
      <c r="E1016" s="3" t="inlineStr">
        <is>
          <t>test_a_template_cannot_require_a_field_of_another_scope</t>
        </is>
      </c>
      <c r="F1016" s="3" t="inlineStr">
        <is>
          <t>whole class</t>
        </is>
      </c>
      <c r="G1016" s="2" t="n">
        <v>8</v>
      </c>
      <c r="H1016" s="2" t="n">
        <v>8</v>
      </c>
      <c r="I1016" s="3" t="inlineStr">
        <is>
          <t>consilium/escalation/tests/test_templates.py</t>
        </is>
      </c>
    </row>
    <row r="1017" ht="30" customHeight="1">
      <c r="A1017" s="2" t="inlineStr">
        <is>
          <t>E-5</t>
        </is>
      </c>
      <c r="B1017" s="3" t="inlineStr">
        <is>
          <t>ESC</t>
        </is>
      </c>
      <c r="C1017" s="3" t="inlineStr">
        <is>
          <t>escalation.tests.test_templates</t>
        </is>
      </c>
      <c r="D1017" s="3" t="inlineStr">
        <is>
          <t>TestTemplates</t>
        </is>
      </c>
      <c r="E1017" s="3" t="inlineStr">
        <is>
          <t>test_templates_are_configuration_and_administrators_own_them</t>
        </is>
      </c>
      <c r="F1017" s="3" t="inlineStr">
        <is>
          <t>whole class</t>
        </is>
      </c>
      <c r="G1017" s="2" t="n">
        <v>8</v>
      </c>
      <c r="H1017" s="2" t="n">
        <v>8</v>
      </c>
      <c r="I1017" s="3" t="inlineStr">
        <is>
          <t>consilium/escalation/tests/test_templates.py</t>
        </is>
      </c>
    </row>
    <row r="1018" ht="30" customHeight="1">
      <c r="A1018" s="2" t="inlineStr">
        <is>
          <t>E-5</t>
        </is>
      </c>
      <c r="B1018" s="3" t="inlineStr">
        <is>
          <t>ESC</t>
        </is>
      </c>
      <c r="C1018" s="3" t="inlineStr">
        <is>
          <t>escalation.tests.test_assignment_and_timing</t>
        </is>
      </c>
      <c r="D1018" s="3" t="inlineStr">
        <is>
          <t>TestAssignmentByGroup</t>
        </is>
      </c>
      <c r="E1018" s="3" t="inlineStr">
        <is>
          <t>test_the_rule_puts_the_matter_in_its_groups_queue</t>
        </is>
      </c>
      <c r="F1018" s="3" t="inlineStr">
        <is>
          <t>whole class</t>
        </is>
      </c>
      <c r="G1018" s="2" t="n">
        <v>10</v>
      </c>
      <c r="H1018" s="2" t="n">
        <v>10</v>
      </c>
      <c r="I1018" s="3" t="inlineStr">
        <is>
          <t>consilium/escalation/tests/test_assignment_and_timing.py</t>
        </is>
      </c>
    </row>
    <row r="1019" ht="30" customHeight="1">
      <c r="A1019" s="2" t="inlineStr">
        <is>
          <t>E-5</t>
        </is>
      </c>
      <c r="B1019" s="3" t="inlineStr">
        <is>
          <t>ESC</t>
        </is>
      </c>
      <c r="C1019" s="3" t="inlineStr">
        <is>
          <t>escalation.tests.test_assignment_and_timing</t>
        </is>
      </c>
      <c r="D1019" s="3" t="inlineStr">
        <is>
          <t>TestAssignmentByGroup</t>
        </is>
      </c>
      <c r="E1019" s="3" t="inlineStr">
        <is>
          <t>test_the_queue_is_told_when_the_matter_enters_it</t>
        </is>
      </c>
      <c r="F1019" s="3" t="inlineStr">
        <is>
          <t>whole class</t>
        </is>
      </c>
      <c r="G1019" s="2" t="n">
        <v>10</v>
      </c>
      <c r="H1019" s="2" t="n">
        <v>10</v>
      </c>
      <c r="I1019" s="3" t="inlineStr">
        <is>
          <t>consilium/escalation/tests/test_assignment_and_timing.py</t>
        </is>
      </c>
    </row>
    <row r="1020" ht="30" customHeight="1">
      <c r="A1020" s="2" t="inlineStr">
        <is>
          <t>E-5</t>
        </is>
      </c>
      <c r="B1020" s="3" t="inlineStr">
        <is>
          <t>ESC</t>
        </is>
      </c>
      <c r="C1020" s="3" t="inlineStr">
        <is>
          <t>escalation.tests.test_assignment_and_timing</t>
        </is>
      </c>
      <c r="D1020" s="3" t="inlineStr">
        <is>
          <t>TestAssignmentByGroup</t>
        </is>
      </c>
      <c r="E1020" s="3" t="inlineStr">
        <is>
          <t>test_a_member_takes_ownership_and_it_leaves_every_queue</t>
        </is>
      </c>
      <c r="F1020" s="3" t="inlineStr">
        <is>
          <t>whole class</t>
        </is>
      </c>
      <c r="G1020" s="2" t="n">
        <v>10</v>
      </c>
      <c r="H1020" s="2" t="n">
        <v>10</v>
      </c>
      <c r="I1020" s="3" t="inlineStr">
        <is>
          <t>consilium/escalation/tests/test_assignment_and_timing.py</t>
        </is>
      </c>
    </row>
    <row r="1021" ht="30" customHeight="1">
      <c r="A1021" s="2" t="inlineStr">
        <is>
          <t>E-5</t>
        </is>
      </c>
      <c r="B1021" s="3" t="inlineStr">
        <is>
          <t>ESC</t>
        </is>
      </c>
      <c r="C1021" s="3" t="inlineStr">
        <is>
          <t>escalation.tests.test_assignment_and_timing</t>
        </is>
      </c>
      <c r="D1021" s="3" t="inlineStr">
        <is>
          <t>TestAssignmentByGroup</t>
        </is>
      </c>
      <c r="E1021" s="3" t="inlineStr">
        <is>
          <t>test_a_matter_already_taken_is_refused_with_its_owner</t>
        </is>
      </c>
      <c r="F1021" s="3" t="inlineStr">
        <is>
          <t>whole class</t>
        </is>
      </c>
      <c r="G1021" s="2" t="n">
        <v>10</v>
      </c>
      <c r="H1021" s="2" t="n">
        <v>10</v>
      </c>
      <c r="I1021" s="3" t="inlineStr">
        <is>
          <t>consilium/escalation/tests/test_assignment_and_timing.py</t>
        </is>
      </c>
    </row>
    <row r="1022" ht="30" customHeight="1">
      <c r="A1022" s="2" t="inlineStr">
        <is>
          <t>E-5</t>
        </is>
      </c>
      <c r="B1022" s="3" t="inlineStr">
        <is>
          <t>ESC</t>
        </is>
      </c>
      <c r="C1022" s="3" t="inlineStr">
        <is>
          <t>escalation.tests.test_assignment_and_timing</t>
        </is>
      </c>
      <c r="D1022" s="3" t="inlineStr">
        <is>
          <t>TestAssignmentByGroup</t>
        </is>
      </c>
      <c r="E1022" s="3" t="inlineStr">
        <is>
          <t>test_someone_outside_the_queue_is_refused_and_audited</t>
        </is>
      </c>
      <c r="F1022" s="3" t="inlineStr">
        <is>
          <t>whole class</t>
        </is>
      </c>
      <c r="G1022" s="2" t="n">
        <v>10</v>
      </c>
      <c r="H1022" s="2" t="n">
        <v>10</v>
      </c>
      <c r="I1022" s="3" t="inlineStr">
        <is>
          <t>consilium/escalation/tests/test_assignment_and_timing.py</t>
        </is>
      </c>
    </row>
    <row r="1023" ht="30" customHeight="1">
      <c r="A1023" s="2" t="inlineStr">
        <is>
          <t>E-5</t>
        </is>
      </c>
      <c r="B1023" s="3" t="inlineStr">
        <is>
          <t>ESC</t>
        </is>
      </c>
      <c r="C1023" s="3" t="inlineStr">
        <is>
          <t>escalation.tests.test_assignment_and_timing</t>
        </is>
      </c>
      <c r="D1023" s="3" t="inlineStr">
        <is>
          <t>TestAssignmentByGroup</t>
        </is>
      </c>
      <c r="E1023" s="3" t="inlineStr">
        <is>
          <t>test_a_member_without_the_owner_role_cannot_take_it</t>
        </is>
      </c>
      <c r="F1023" s="3" t="inlineStr">
        <is>
          <t>whole class</t>
        </is>
      </c>
      <c r="G1023" s="2" t="n">
        <v>10</v>
      </c>
      <c r="H1023" s="2" t="n">
        <v>10</v>
      </c>
      <c r="I1023" s="3" t="inlineStr">
        <is>
          <t>consilium/escalation/tests/test_assignment_and_timing.py</t>
        </is>
      </c>
    </row>
    <row r="1024" ht="30" customHeight="1">
      <c r="A1024" s="2" t="inlineStr">
        <is>
          <t>E-5</t>
        </is>
      </c>
      <c r="B1024" s="3" t="inlineStr">
        <is>
          <t>ESC</t>
        </is>
      </c>
      <c r="C1024" s="3" t="inlineStr">
        <is>
          <t>escalation.tests.test_assignment_and_timing</t>
        </is>
      </c>
      <c r="D1024" s="3" t="inlineStr">
        <is>
          <t>TestAssignmentByGroup</t>
        </is>
      </c>
      <c r="E1024" s="3" t="inlineStr">
        <is>
          <t>test_an_owner_named_from_the_queue_has_already_taken_it</t>
        </is>
      </c>
      <c r="F1024" s="3" t="inlineStr">
        <is>
          <t>whole class</t>
        </is>
      </c>
      <c r="G1024" s="2" t="n">
        <v>10</v>
      </c>
      <c r="H1024" s="2" t="n">
        <v>10</v>
      </c>
      <c r="I1024" s="3" t="inlineStr">
        <is>
          <t>consilium/escalation/tests/test_assignment_and_timing.py</t>
        </is>
      </c>
    </row>
    <row r="1025" ht="30" customHeight="1">
      <c r="A1025" s="2" t="inlineStr">
        <is>
          <t>E-5</t>
        </is>
      </c>
      <c r="B1025" s="3" t="inlineStr">
        <is>
          <t>ESC</t>
        </is>
      </c>
      <c r="C1025" s="3" t="inlineStr">
        <is>
          <t>escalation.tests.test_assignment_and_timing</t>
        </is>
      </c>
      <c r="D1025" s="3" t="inlineStr">
        <is>
          <t>TestAssignmentByGroup</t>
        </is>
      </c>
      <c r="E1025" s="3" t="inlineStr">
        <is>
          <t>test_a_sensitive_matter_reaches_its_group_but_only_cleared_holders_of_a_role</t>
        </is>
      </c>
      <c r="F1025" s="3" t="inlineStr">
        <is>
          <t>whole class</t>
        </is>
      </c>
      <c r="G1025" s="2" t="n">
        <v>10</v>
      </c>
      <c r="H1025" s="2" t="n">
        <v>10</v>
      </c>
      <c r="I1025" s="3" t="inlineStr">
        <is>
          <t>consilium/escalation/tests/test_assignment_and_timing.py</t>
        </is>
      </c>
    </row>
    <row r="1026" ht="30" customHeight="1">
      <c r="A1026" s="2" t="inlineStr">
        <is>
          <t>E-5</t>
        </is>
      </c>
      <c r="B1026" s="3" t="inlineStr">
        <is>
          <t>ESC</t>
        </is>
      </c>
      <c r="C1026" s="3" t="inlineStr">
        <is>
          <t>escalation.tests.test_assignment_and_timing</t>
        </is>
      </c>
      <c r="D1026" s="3" t="inlineStr">
        <is>
          <t>TestAssignmentByGroup</t>
        </is>
      </c>
      <c r="E1026" s="3" t="inlineStr">
        <is>
          <t>test_a_sensitive_matter_in_a_role_queue_reaches_only_cleared_holders</t>
        </is>
      </c>
      <c r="F1026" s="3" t="inlineStr">
        <is>
          <t>whole class</t>
        </is>
      </c>
      <c r="G1026" s="2" t="n">
        <v>10</v>
      </c>
      <c r="H1026" s="2" t="n">
        <v>10</v>
      </c>
      <c r="I1026" s="3" t="inlineStr">
        <is>
          <t>consilium/escalation/tests/test_assignment_and_timing.py</t>
        </is>
      </c>
    </row>
    <row r="1027" ht="30" customHeight="1">
      <c r="A1027" s="2" t="inlineStr">
        <is>
          <t>E-5</t>
        </is>
      </c>
      <c r="B1027" s="3" t="inlineStr">
        <is>
          <t>ESC</t>
        </is>
      </c>
      <c r="C1027" s="3" t="inlineStr">
        <is>
          <t>escalation.tests.test_assignment_and_timing</t>
        </is>
      </c>
      <c r="D1027" s="3" t="inlineStr">
        <is>
          <t>TestAssignmentByGroup</t>
        </is>
      </c>
      <c r="E1027" s="3" t="inlineStr">
        <is>
          <t>test_a_rule_without_a_queue_clears_it</t>
        </is>
      </c>
      <c r="F1027" s="3" t="inlineStr">
        <is>
          <t>whole class</t>
        </is>
      </c>
      <c r="G1027" s="2" t="n">
        <v>10</v>
      </c>
      <c r="H1027" s="2" t="n">
        <v>10</v>
      </c>
      <c r="I1027" s="3" t="inlineStr">
        <is>
          <t>consilium/escalation/tests/test_assignment_and_timing.py</t>
        </is>
      </c>
    </row>
    <row r="1028" ht="30" customHeight="1">
      <c r="A1028" s="2" t="inlineStr">
        <is>
          <t>E-5</t>
        </is>
      </c>
      <c r="B1028" s="3" t="inlineStr">
        <is>
          <t>ESC</t>
        </is>
      </c>
      <c r="C1028" s="3" t="inlineStr">
        <is>
          <t>escalation.tests.test_assignment_and_timing</t>
        </is>
      </c>
      <c r="D1028" s="3" t="inlineStr">
        <is>
          <t>TestAssignmentByRole</t>
        </is>
      </c>
      <c r="E1028" s="3" t="inlineStr">
        <is>
          <t>test_every_holder_of_the_role_sees_it_and_one_takes_it</t>
        </is>
      </c>
      <c r="F1028" s="3" t="inlineStr">
        <is>
          <t>whole class</t>
        </is>
      </c>
      <c r="G1028" s="2" t="n">
        <v>1</v>
      </c>
      <c r="H1028" s="2" t="n">
        <v>1</v>
      </c>
      <c r="I1028" s="3" t="inlineStr">
        <is>
          <t>consilium/escalation/tests/test_assignment_and_timing.py</t>
        </is>
      </c>
    </row>
    <row r="1029" ht="17" customHeight="1">
      <c r="A1029" s="2" t="inlineStr">
        <is>
          <t>E-5</t>
        </is>
      </c>
      <c r="B1029" s="3" t="inlineStr">
        <is>
          <t>ESC</t>
        </is>
      </c>
      <c r="C1029" s="3" t="inlineStr">
        <is>
          <t>escalation.tests.test_portal_actions</t>
        </is>
      </c>
      <c r="D1029" s="3" t="inlineStr">
        <is>
          <t>TestRaise</t>
        </is>
      </c>
      <c r="E1029" s="3" t="inlineStr">
        <is>
          <t>test_the_escalation_template_is_enforced</t>
        </is>
      </c>
      <c r="F1029" s="3" t="inlineStr">
        <is>
          <t>named method</t>
        </is>
      </c>
      <c r="G1029" s="2" t="n"/>
      <c r="H1029" s="2" t="n">
        <v>1</v>
      </c>
      <c r="I1029" s="3" t="inlineStr">
        <is>
          <t>consilium/escalation/tests/test_portal_actions.py</t>
        </is>
      </c>
    </row>
    <row r="1030" ht="17" customHeight="1">
      <c r="A1030" s="2" t="inlineStr">
        <is>
          <t>E-5</t>
        </is>
      </c>
      <c r="B1030" s="3" t="inlineStr">
        <is>
          <t>ESC</t>
        </is>
      </c>
      <c r="C1030" s="3" t="inlineStr">
        <is>
          <t>escalation.tests.test_portal_actions</t>
        </is>
      </c>
      <c r="D1030" s="3" t="inlineStr">
        <is>
          <t>TestStatus</t>
        </is>
      </c>
      <c r="E1030" s="3" t="inlineStr">
        <is>
          <t>test_the_owner_moves_the_matter_and_sends_it_for_review</t>
        </is>
      </c>
      <c r="F1030" s="3" t="inlineStr">
        <is>
          <t>whole class</t>
        </is>
      </c>
      <c r="G1030" s="2" t="n">
        <v>4</v>
      </c>
      <c r="H1030" s="2" t="n">
        <v>4</v>
      </c>
      <c r="I1030" s="3" t="inlineStr">
        <is>
          <t>consilium/escalation/tests/test_portal_actions.py</t>
        </is>
      </c>
    </row>
    <row r="1031" ht="17" customHeight="1">
      <c r="A1031" s="2" t="inlineStr">
        <is>
          <t>E-5</t>
        </is>
      </c>
      <c r="B1031" s="3" t="inlineStr">
        <is>
          <t>ESC</t>
        </is>
      </c>
      <c r="C1031" s="3" t="inlineStr">
        <is>
          <t>escalation.tests.test_portal_actions</t>
        </is>
      </c>
      <c r="D1031" s="3" t="inlineStr">
        <is>
          <t>TestStatus</t>
        </is>
      </c>
      <c r="E1031" s="3" t="inlineStr">
        <is>
          <t>test_only_the_reviewer_hands_it_back</t>
        </is>
      </c>
      <c r="F1031" s="3" t="inlineStr">
        <is>
          <t>whole class</t>
        </is>
      </c>
      <c r="G1031" s="2" t="n">
        <v>4</v>
      </c>
      <c r="H1031" s="2" t="n">
        <v>4</v>
      </c>
      <c r="I1031" s="3" t="inlineStr">
        <is>
          <t>consilium/escalation/tests/test_portal_actions.py</t>
        </is>
      </c>
    </row>
    <row r="1032" ht="17" customHeight="1">
      <c r="A1032" s="2" t="inlineStr">
        <is>
          <t>E-5</t>
        </is>
      </c>
      <c r="B1032" s="3" t="inlineStr">
        <is>
          <t>ESC</t>
        </is>
      </c>
      <c r="C1032" s="3" t="inlineStr">
        <is>
          <t>escalation.tests.test_portal_actions</t>
        </is>
      </c>
      <c r="D1032" s="3" t="inlineStr">
        <is>
          <t>TestStatus</t>
        </is>
      </c>
      <c r="E1032" s="3" t="inlineStr">
        <is>
          <t>test_a_move_cannot_close_the_matter</t>
        </is>
      </c>
      <c r="F1032" s="3" t="inlineStr">
        <is>
          <t>whole class</t>
        </is>
      </c>
      <c r="G1032" s="2" t="n">
        <v>4</v>
      </c>
      <c r="H1032" s="2" t="n">
        <v>4</v>
      </c>
      <c r="I1032" s="3" t="inlineStr">
        <is>
          <t>consilium/escalation/tests/test_portal_actions.py</t>
        </is>
      </c>
    </row>
    <row r="1033" ht="17" customHeight="1">
      <c r="A1033" s="2" t="inlineStr">
        <is>
          <t>E-5</t>
        </is>
      </c>
      <c r="B1033" s="3" t="inlineStr">
        <is>
          <t>ESC</t>
        </is>
      </c>
      <c r="C1033" s="3" t="inlineStr">
        <is>
          <t>escalation.tests.test_portal_actions</t>
        </is>
      </c>
      <c r="D1033" s="3" t="inlineStr">
        <is>
          <t>TestStatus</t>
        </is>
      </c>
      <c r="E1033" s="3" t="inlineStr">
        <is>
          <t>test_a_reader_cannot_move_it</t>
        </is>
      </c>
      <c r="F1033" s="3" t="inlineStr">
        <is>
          <t>whole class</t>
        </is>
      </c>
      <c r="G1033" s="2" t="n">
        <v>4</v>
      </c>
      <c r="H1033" s="2" t="n">
        <v>4</v>
      </c>
      <c r="I1033" s="3" t="inlineStr">
        <is>
          <t>consilium/escalation/tests/test_portal_actions.py</t>
        </is>
      </c>
    </row>
    <row r="1034" ht="17" customHeight="1">
      <c r="A1034" s="2" t="inlineStr">
        <is>
          <t>E-6</t>
        </is>
      </c>
      <c r="B1034" s="3" t="inlineStr">
        <is>
          <t>ESC</t>
        </is>
      </c>
      <c r="C1034" s="3" t="inlineStr">
        <is>
          <t>escalation.tests.test_templates</t>
        </is>
      </c>
      <c r="D1034" s="3" t="inlineStr">
        <is>
          <t>TestTemplates</t>
        </is>
      </c>
      <c r="E1034" s="3" t="inlineStr">
        <is>
          <t>test_three_templates_share_one_standard_field_set</t>
        </is>
      </c>
      <c r="F1034" s="3" t="inlineStr">
        <is>
          <t>whole class</t>
        </is>
      </c>
      <c r="G1034" s="2" t="n">
        <v>8</v>
      </c>
      <c r="H1034" s="2" t="n">
        <v>8</v>
      </c>
      <c r="I1034" s="3" t="inlineStr">
        <is>
          <t>consilium/escalation/tests/test_templates.py</t>
        </is>
      </c>
    </row>
    <row r="1035" ht="17" customHeight="1">
      <c r="A1035" s="2" t="inlineStr">
        <is>
          <t>E-6</t>
        </is>
      </c>
      <c r="B1035" s="3" t="inlineStr">
        <is>
          <t>ESC</t>
        </is>
      </c>
      <c r="C1035" s="3" t="inlineStr">
        <is>
          <t>escalation.tests.test_templates</t>
        </is>
      </c>
      <c r="D1035" s="3" t="inlineStr">
        <is>
          <t>TestTemplates</t>
        </is>
      </c>
      <c r="E1035" s="3" t="inlineStr">
        <is>
          <t>test_selecting_a_type_applies_its_template</t>
        </is>
      </c>
      <c r="F1035" s="3" t="inlineStr">
        <is>
          <t>whole class</t>
        </is>
      </c>
      <c r="G1035" s="2" t="n">
        <v>8</v>
      </c>
      <c r="H1035" s="2" t="n">
        <v>8</v>
      </c>
      <c r="I1035" s="3" t="inlineStr">
        <is>
          <t>consilium/escalation/tests/test_templates.py</t>
        </is>
      </c>
    </row>
    <row r="1036" ht="17" customHeight="1">
      <c r="A1036" s="2" t="inlineStr">
        <is>
          <t>E-6</t>
        </is>
      </c>
      <c r="B1036" s="3" t="inlineStr">
        <is>
          <t>ESC</t>
        </is>
      </c>
      <c r="C1036" s="3" t="inlineStr">
        <is>
          <t>escalation.tests.test_templates</t>
        </is>
      </c>
      <c r="D1036" s="3" t="inlineStr">
        <is>
          <t>TestTemplates</t>
        </is>
      </c>
      <c r="E1036" s="3" t="inlineStr">
        <is>
          <t>test_a_required_field_is_enforced</t>
        </is>
      </c>
      <c r="F1036" s="3" t="inlineStr">
        <is>
          <t>whole class</t>
        </is>
      </c>
      <c r="G1036" s="2" t="n">
        <v>8</v>
      </c>
      <c r="H1036" s="2" t="n">
        <v>8</v>
      </c>
      <c r="I1036" s="3" t="inlineStr">
        <is>
          <t>consilium/escalation/tests/test_templates.py</t>
        </is>
      </c>
    </row>
    <row r="1037" ht="17" customHeight="1">
      <c r="A1037" s="2" t="inlineStr">
        <is>
          <t>E-6</t>
        </is>
      </c>
      <c r="B1037" s="3" t="inlineStr">
        <is>
          <t>ESC</t>
        </is>
      </c>
      <c r="C1037" s="3" t="inlineStr">
        <is>
          <t>escalation.tests.test_templates</t>
        </is>
      </c>
      <c r="D1037" s="3" t="inlineStr">
        <is>
          <t>TestTemplates</t>
        </is>
      </c>
      <c r="E1037" s="3" t="inlineStr">
        <is>
          <t>test_a_requirement_can_start_at_a_severity</t>
        </is>
      </c>
      <c r="F1037" s="3" t="inlineStr">
        <is>
          <t>whole class</t>
        </is>
      </c>
      <c r="G1037" s="2" t="n">
        <v>8</v>
      </c>
      <c r="H1037" s="2" t="n">
        <v>8</v>
      </c>
      <c r="I1037" s="3" t="inlineStr">
        <is>
          <t>consilium/escalation/tests/test_templates.py</t>
        </is>
      </c>
    </row>
    <row r="1038" ht="30" customHeight="1">
      <c r="A1038" s="2" t="inlineStr">
        <is>
          <t>E-6</t>
        </is>
      </c>
      <c r="B1038" s="3" t="inlineStr">
        <is>
          <t>ESC</t>
        </is>
      </c>
      <c r="C1038" s="3" t="inlineStr">
        <is>
          <t>escalation.tests.test_templates</t>
        </is>
      </c>
      <c r="D1038" s="3" t="inlineStr">
        <is>
          <t>TestTemplates</t>
        </is>
      </c>
      <c r="E1038" s="3" t="inlineStr">
        <is>
          <t>test_action_plan_and_risk_acceptance_have_their_own_templates</t>
        </is>
      </c>
      <c r="F1038" s="3" t="inlineStr">
        <is>
          <t>whole class</t>
        </is>
      </c>
      <c r="G1038" s="2" t="n">
        <v>8</v>
      </c>
      <c r="H1038" s="2" t="n">
        <v>8</v>
      </c>
      <c r="I1038" s="3" t="inlineStr">
        <is>
          <t>consilium/escalation/tests/test_templates.py</t>
        </is>
      </c>
    </row>
    <row r="1039" ht="30" customHeight="1">
      <c r="A1039" s="2" t="inlineStr">
        <is>
          <t>E-6</t>
        </is>
      </c>
      <c r="B1039" s="3" t="inlineStr">
        <is>
          <t>ESC</t>
        </is>
      </c>
      <c r="C1039" s="3" t="inlineStr">
        <is>
          <t>escalation.tests.test_templates</t>
        </is>
      </c>
      <c r="D1039" s="3" t="inlineStr">
        <is>
          <t>TestTemplates</t>
        </is>
      </c>
      <c r="E1039" s="3" t="inlineStr">
        <is>
          <t>test_a_template_cannot_require_a_field_that_does_not_exist</t>
        </is>
      </c>
      <c r="F1039" s="3" t="inlineStr">
        <is>
          <t>whole class</t>
        </is>
      </c>
      <c r="G1039" s="2" t="n">
        <v>8</v>
      </c>
      <c r="H1039" s="2" t="n">
        <v>8</v>
      </c>
      <c r="I1039" s="3" t="inlineStr">
        <is>
          <t>consilium/escalation/tests/test_templates.py</t>
        </is>
      </c>
    </row>
    <row r="1040" ht="17" customHeight="1">
      <c r="A1040" s="2" t="inlineStr">
        <is>
          <t>E-6</t>
        </is>
      </c>
      <c r="B1040" s="3" t="inlineStr">
        <is>
          <t>ESC</t>
        </is>
      </c>
      <c r="C1040" s="3" t="inlineStr">
        <is>
          <t>escalation.tests.test_templates</t>
        </is>
      </c>
      <c r="D1040" s="3" t="inlineStr">
        <is>
          <t>TestTemplates</t>
        </is>
      </c>
      <c r="E1040" s="3" t="inlineStr">
        <is>
          <t>test_a_template_cannot_require_a_field_of_another_scope</t>
        </is>
      </c>
      <c r="F1040" s="3" t="inlineStr">
        <is>
          <t>whole class</t>
        </is>
      </c>
      <c r="G1040" s="2" t="n">
        <v>8</v>
      </c>
      <c r="H1040" s="2" t="n">
        <v>8</v>
      </c>
      <c r="I1040" s="3" t="inlineStr">
        <is>
          <t>consilium/escalation/tests/test_templates.py</t>
        </is>
      </c>
    </row>
    <row r="1041" ht="30" customHeight="1">
      <c r="A1041" s="2" t="inlineStr">
        <is>
          <t>E-6</t>
        </is>
      </c>
      <c r="B1041" s="3" t="inlineStr">
        <is>
          <t>ESC</t>
        </is>
      </c>
      <c r="C1041" s="3" t="inlineStr">
        <is>
          <t>escalation.tests.test_templates</t>
        </is>
      </c>
      <c r="D1041" s="3" t="inlineStr">
        <is>
          <t>TestTemplates</t>
        </is>
      </c>
      <c r="E1041" s="3" t="inlineStr">
        <is>
          <t>test_templates_are_configuration_and_administrators_own_them</t>
        </is>
      </c>
      <c r="F1041" s="3" t="inlineStr">
        <is>
          <t>whole class</t>
        </is>
      </c>
      <c r="G1041" s="2" t="n">
        <v>8</v>
      </c>
      <c r="H1041" s="2" t="n">
        <v>8</v>
      </c>
      <c r="I1041" s="3" t="inlineStr">
        <is>
          <t>consilium/escalation/tests/test_templates.py</t>
        </is>
      </c>
    </row>
    <row r="1042" ht="30" customHeight="1">
      <c r="A1042" s="2" t="inlineStr">
        <is>
          <t>E-6</t>
        </is>
      </c>
      <c r="B1042" s="3" t="inlineStr">
        <is>
          <t>ESC</t>
        </is>
      </c>
      <c r="C1042" s="3" t="inlineStr">
        <is>
          <t>escalation.tests.test_entities</t>
        </is>
      </c>
      <c r="D1042" s="3" t="inlineStr">
        <is>
          <t>TestActionPlan</t>
        </is>
      </c>
      <c r="E1042" s="3" t="inlineStr">
        <is>
          <t>test_several_plans_per_matter_with_their_own_dates_and_owners</t>
        </is>
      </c>
      <c r="F1042" s="3" t="inlineStr">
        <is>
          <t>whole class</t>
        </is>
      </c>
      <c r="G1042" s="2" t="n">
        <v>2</v>
      </c>
      <c r="H1042" s="2" t="n">
        <v>2</v>
      </c>
      <c r="I1042" s="3" t="inlineStr">
        <is>
          <t>consilium/escalation/tests/test_entities.py</t>
        </is>
      </c>
    </row>
    <row r="1043" ht="17" customHeight="1">
      <c r="A1043" s="2" t="inlineStr">
        <is>
          <t>E-6</t>
        </is>
      </c>
      <c r="B1043" s="3" t="inlineStr">
        <is>
          <t>ESC</t>
        </is>
      </c>
      <c r="C1043" s="3" t="inlineStr">
        <is>
          <t>escalation.tests.test_entities</t>
        </is>
      </c>
      <c r="D1043" s="3" t="inlineStr">
        <is>
          <t>TestActionPlan</t>
        </is>
      </c>
      <c r="E1043" s="3" t="inlineStr">
        <is>
          <t>test_a_plan_cannot_end_before_it_starts</t>
        </is>
      </c>
      <c r="F1043" s="3" t="inlineStr">
        <is>
          <t>whole class</t>
        </is>
      </c>
      <c r="G1043" s="2" t="n">
        <v>2</v>
      </c>
      <c r="H1043" s="2" t="n">
        <v>2</v>
      </c>
      <c r="I1043" s="3" t="inlineStr">
        <is>
          <t>consilium/escalation/tests/test_entities.py</t>
        </is>
      </c>
    </row>
    <row r="1044" ht="17" customHeight="1">
      <c r="A1044" s="2" t="inlineStr">
        <is>
          <t>E-6</t>
        </is>
      </c>
      <c r="B1044" s="3" t="inlineStr">
        <is>
          <t>ESC</t>
        </is>
      </c>
      <c r="C1044" s="3" t="inlineStr">
        <is>
          <t>escalation.tests.test_portal_actions</t>
        </is>
      </c>
      <c r="D1044" s="3" t="inlineStr">
        <is>
          <t>TestActionPlans</t>
        </is>
      </c>
      <c r="E1044" s="3" t="inlineStr">
        <is>
          <t>test_the_owner_adds_and_updates_a_plan</t>
        </is>
      </c>
      <c r="F1044" s="3" t="inlineStr">
        <is>
          <t>whole class</t>
        </is>
      </c>
      <c r="G1044" s="2" t="n">
        <v>4</v>
      </c>
      <c r="H1044" s="2" t="n">
        <v>4</v>
      </c>
      <c r="I1044" s="3" t="inlineStr">
        <is>
          <t>consilium/escalation/tests/test_portal_actions.py</t>
        </is>
      </c>
    </row>
    <row r="1045" ht="17" customHeight="1">
      <c r="A1045" s="2" t="inlineStr">
        <is>
          <t>E-6</t>
        </is>
      </c>
      <c r="B1045" s="3" t="inlineStr">
        <is>
          <t>ESC</t>
        </is>
      </c>
      <c r="C1045" s="3" t="inlineStr">
        <is>
          <t>escalation.tests.test_portal_actions</t>
        </is>
      </c>
      <c r="D1045" s="3" t="inlineStr">
        <is>
          <t>TestActionPlans</t>
        </is>
      </c>
      <c r="E1045" s="3" t="inlineStr">
        <is>
          <t>test_the_plan_template_is_enforced</t>
        </is>
      </c>
      <c r="F1045" s="3" t="inlineStr">
        <is>
          <t>whole class</t>
        </is>
      </c>
      <c r="G1045" s="2" t="n">
        <v>4</v>
      </c>
      <c r="H1045" s="2" t="n">
        <v>4</v>
      </c>
      <c r="I1045" s="3" t="inlineStr">
        <is>
          <t>consilium/escalation/tests/test_portal_actions.py</t>
        </is>
      </c>
    </row>
    <row r="1046" ht="17" customHeight="1">
      <c r="A1046" s="2" t="inlineStr">
        <is>
          <t>E-6</t>
        </is>
      </c>
      <c r="B1046" s="3" t="inlineStr">
        <is>
          <t>ESC</t>
        </is>
      </c>
      <c r="C1046" s="3" t="inlineStr">
        <is>
          <t>escalation.tests.test_portal_actions</t>
        </is>
      </c>
      <c r="D1046" s="3" t="inlineStr">
        <is>
          <t>TestActionPlans</t>
        </is>
      </c>
      <c r="E1046" s="3" t="inlineStr">
        <is>
          <t>test_a_closed_plan_cannot_be_changed</t>
        </is>
      </c>
      <c r="F1046" s="3" t="inlineStr">
        <is>
          <t>whole class</t>
        </is>
      </c>
      <c r="G1046" s="2" t="n">
        <v>4</v>
      </c>
      <c r="H1046" s="2" t="n">
        <v>4</v>
      </c>
      <c r="I1046" s="3" t="inlineStr">
        <is>
          <t>consilium/escalation/tests/test_portal_actions.py</t>
        </is>
      </c>
    </row>
    <row r="1047" ht="17" customHeight="1">
      <c r="A1047" s="2" t="inlineStr">
        <is>
          <t>E-6</t>
        </is>
      </c>
      <c r="B1047" s="3" t="inlineStr">
        <is>
          <t>ESC</t>
        </is>
      </c>
      <c r="C1047" s="3" t="inlineStr">
        <is>
          <t>escalation.tests.test_portal_actions</t>
        </is>
      </c>
      <c r="D1047" s="3" t="inlineStr">
        <is>
          <t>TestActionPlans</t>
        </is>
      </c>
      <c r="E1047" s="3" t="inlineStr">
        <is>
          <t>test_the_reviewer_cannot_add_a_plan</t>
        </is>
      </c>
      <c r="F1047" s="3" t="inlineStr">
        <is>
          <t>whole class</t>
        </is>
      </c>
      <c r="G1047" s="2" t="n">
        <v>4</v>
      </c>
      <c r="H1047" s="2" t="n">
        <v>4</v>
      </c>
      <c r="I1047" s="3" t="inlineStr">
        <is>
          <t>consilium/escalation/tests/test_portal_actions.py</t>
        </is>
      </c>
    </row>
    <row r="1048" ht="17" customHeight="1">
      <c r="A1048" s="2" t="inlineStr">
        <is>
          <t>E-7</t>
        </is>
      </c>
      <c r="B1048" s="3" t="inlineStr">
        <is>
          <t>ESC</t>
        </is>
      </c>
      <c r="C1048" s="3" t="inlineStr">
        <is>
          <t>escalation.tests.test_participants</t>
        </is>
      </c>
      <c r="D1048" s="3" t="inlineStr">
        <is>
          <t>TestPathwayParticipants</t>
        </is>
      </c>
      <c r="E1048" s="3" t="inlineStr">
        <is>
          <t>test_the_officer_and_attesting_seats_are_resolved</t>
        </is>
      </c>
      <c r="F1048" s="3" t="inlineStr">
        <is>
          <t>whole class</t>
        </is>
      </c>
      <c r="G1048" s="2" t="n">
        <v>5</v>
      </c>
      <c r="H1048" s="2" t="n">
        <v>5</v>
      </c>
      <c r="I1048" s="3" t="inlineStr">
        <is>
          <t>consilium/escalation/tests/test_participants.py</t>
        </is>
      </c>
    </row>
    <row r="1049" ht="17" customHeight="1">
      <c r="A1049" s="2" t="inlineStr">
        <is>
          <t>E-7</t>
        </is>
      </c>
      <c r="B1049" s="3" t="inlineStr">
        <is>
          <t>ESC</t>
        </is>
      </c>
      <c r="C1049" s="3" t="inlineStr">
        <is>
          <t>escalation.tests.test_participants</t>
        </is>
      </c>
      <c r="D1049" s="3" t="inlineStr">
        <is>
          <t>TestPathwayParticipants</t>
        </is>
      </c>
      <c r="E1049" s="3" t="inlineStr">
        <is>
          <t>test_a_breach_reaches_the_pathway_forums_people</t>
        </is>
      </c>
      <c r="F1049" s="3" t="inlineStr">
        <is>
          <t>whole class</t>
        </is>
      </c>
      <c r="G1049" s="2" t="n">
        <v>5</v>
      </c>
      <c r="H1049" s="2" t="n">
        <v>5</v>
      </c>
      <c r="I1049" s="3" t="inlineStr">
        <is>
          <t>consilium/escalation/tests/test_participants.py</t>
        </is>
      </c>
    </row>
    <row r="1050" ht="30" customHeight="1">
      <c r="A1050" s="2" t="inlineStr">
        <is>
          <t>E-7</t>
        </is>
      </c>
      <c r="B1050" s="3" t="inlineStr">
        <is>
          <t>ESC</t>
        </is>
      </c>
      <c r="C1050" s="3" t="inlineStr">
        <is>
          <t>escalation.tests.test_participants</t>
        </is>
      </c>
      <c r="D1050" s="3" t="inlineStr">
        <is>
          <t>TestPathwayParticipants</t>
        </is>
      </c>
      <c r="E1050" s="3" t="inlineStr">
        <is>
          <t>test_material_entity_impact_notifies_them_and_stamps_the_forum</t>
        </is>
      </c>
      <c r="F1050" s="3" t="inlineStr">
        <is>
          <t>whole class</t>
        </is>
      </c>
      <c r="G1050" s="2" t="n">
        <v>5</v>
      </c>
      <c r="H1050" s="2" t="n">
        <v>5</v>
      </c>
      <c r="I1050" s="3" t="inlineStr">
        <is>
          <t>consilium/escalation/tests/test_participants.py</t>
        </is>
      </c>
    </row>
    <row r="1051" ht="17" customHeight="1">
      <c r="A1051" s="2" t="inlineStr">
        <is>
          <t>E-7</t>
        </is>
      </c>
      <c r="B1051" s="3" t="inlineStr">
        <is>
          <t>ESC</t>
        </is>
      </c>
      <c r="C1051" s="3" t="inlineStr">
        <is>
          <t>escalation.tests.test_participants</t>
        </is>
      </c>
      <c r="D1051" s="3" t="inlineStr">
        <is>
          <t>TestPathwayParticipants</t>
        </is>
      </c>
      <c r="E1051" s="3" t="inlineStr">
        <is>
          <t>test_a_forum_with_no_filled_officer_seat_is_not_stamped</t>
        </is>
      </c>
      <c r="F1051" s="3" t="inlineStr">
        <is>
          <t>whole class</t>
        </is>
      </c>
      <c r="G1051" s="2" t="n">
        <v>5</v>
      </c>
      <c r="H1051" s="2" t="n">
        <v>5</v>
      </c>
      <c r="I1051" s="3" t="inlineStr">
        <is>
          <t>consilium/escalation/tests/test_participants.py</t>
        </is>
      </c>
    </row>
    <row r="1052" ht="17" customHeight="1">
      <c r="A1052" s="2" t="inlineStr">
        <is>
          <t>E-7</t>
        </is>
      </c>
      <c r="B1052" s="3" t="inlineStr">
        <is>
          <t>ESC</t>
        </is>
      </c>
      <c r="C1052" s="3" t="inlineStr">
        <is>
          <t>escalation.tests.test_participants</t>
        </is>
      </c>
      <c r="D1052" s="3" t="inlineStr">
        <is>
          <t>TestPathwayParticipants</t>
        </is>
      </c>
      <c r="E1052" s="3" t="inlineStr">
        <is>
          <t>test_the_matter_page_shows_who_a_notice_reaches</t>
        </is>
      </c>
      <c r="F1052" s="3" t="inlineStr">
        <is>
          <t>whole class</t>
        </is>
      </c>
      <c r="G1052" s="2" t="n">
        <v>5</v>
      </c>
      <c r="H1052" s="2" t="n">
        <v>5</v>
      </c>
      <c r="I1052" s="3" t="inlineStr">
        <is>
          <t>consilium/escalation/tests/test_participants.py</t>
        </is>
      </c>
    </row>
    <row r="1053" ht="17" customHeight="1">
      <c r="A1053" s="2" t="inlineStr">
        <is>
          <t>E-7</t>
        </is>
      </c>
      <c r="B1053" s="3" t="inlineStr">
        <is>
          <t>ESC</t>
        </is>
      </c>
      <c r="C1053" s="3" t="inlineStr">
        <is>
          <t>escalation.tests.test_portal_actions</t>
        </is>
      </c>
      <c r="D1053" s="3" t="inlineStr">
        <is>
          <t>TestPathway</t>
        </is>
      </c>
      <c r="E1053" s="3" t="inlineStr">
        <is>
          <t>test_the_owner_adds_a_forum_and_keeps_the_rest</t>
        </is>
      </c>
      <c r="F1053" s="3" t="inlineStr">
        <is>
          <t>whole class</t>
        </is>
      </c>
      <c r="G1053" s="2" t="n">
        <v>4</v>
      </c>
      <c r="H1053" s="2" t="n">
        <v>4</v>
      </c>
      <c r="I1053" s="3" t="inlineStr">
        <is>
          <t>consilium/escalation/tests/test_portal_actions.py</t>
        </is>
      </c>
    </row>
    <row r="1054" ht="17" customHeight="1">
      <c r="A1054" s="2" t="inlineStr">
        <is>
          <t>E-7</t>
        </is>
      </c>
      <c r="B1054" s="3" t="inlineStr">
        <is>
          <t>ESC</t>
        </is>
      </c>
      <c r="C1054" s="3" t="inlineStr">
        <is>
          <t>escalation.tests.test_portal_actions</t>
        </is>
      </c>
      <c r="D1054" s="3" t="inlineStr">
        <is>
          <t>TestPathway</t>
        </is>
      </c>
      <c r="E1054" s="3" t="inlineStr">
        <is>
          <t>test_an_inactive_forum_is_refused</t>
        </is>
      </c>
      <c r="F1054" s="3" t="inlineStr">
        <is>
          <t>whole class</t>
        </is>
      </c>
      <c r="G1054" s="2" t="n">
        <v>4</v>
      </c>
      <c r="H1054" s="2" t="n">
        <v>4</v>
      </c>
      <c r="I1054" s="3" t="inlineStr">
        <is>
          <t>consilium/escalation/tests/test_portal_actions.py</t>
        </is>
      </c>
    </row>
    <row r="1055" ht="17" customHeight="1">
      <c r="A1055" s="2" t="inlineStr">
        <is>
          <t>E-7</t>
        </is>
      </c>
      <c r="B1055" s="3" t="inlineStr">
        <is>
          <t>ESC</t>
        </is>
      </c>
      <c r="C1055" s="3" t="inlineStr">
        <is>
          <t>escalation.tests.test_portal_actions</t>
        </is>
      </c>
      <c r="D1055" s="3" t="inlineStr">
        <is>
          <t>TestPathway</t>
        </is>
      </c>
      <c r="E1055" s="3" t="inlineStr">
        <is>
          <t>test_a_forum_the_matrix_routes_to_cannot_be_removed</t>
        </is>
      </c>
      <c r="F1055" s="3" t="inlineStr">
        <is>
          <t>whole class</t>
        </is>
      </c>
      <c r="G1055" s="2" t="n">
        <v>4</v>
      </c>
      <c r="H1055" s="2" t="n">
        <v>4</v>
      </c>
      <c r="I1055" s="3" t="inlineStr">
        <is>
          <t>consilium/escalation/tests/test_portal_actions.py</t>
        </is>
      </c>
    </row>
    <row r="1056" ht="17" customHeight="1">
      <c r="A1056" s="2" t="inlineStr">
        <is>
          <t>E-7</t>
        </is>
      </c>
      <c r="B1056" s="3" t="inlineStr">
        <is>
          <t>ESC</t>
        </is>
      </c>
      <c r="C1056" s="3" t="inlineStr">
        <is>
          <t>escalation.tests.test_portal_actions</t>
        </is>
      </c>
      <c r="D1056" s="3" t="inlineStr">
        <is>
          <t>TestPathway</t>
        </is>
      </c>
      <c r="E1056" s="3" t="inlineStr">
        <is>
          <t>test_the_reviewer_cannot_change_it</t>
        </is>
      </c>
      <c r="F1056" s="3" t="inlineStr">
        <is>
          <t>whole class</t>
        </is>
      </c>
      <c r="G1056" s="2" t="n">
        <v>4</v>
      </c>
      <c r="H1056" s="2" t="n">
        <v>4</v>
      </c>
      <c r="I1056" s="3" t="inlineStr">
        <is>
          <t>consilium/escalation/tests/test_portal_actions.py</t>
        </is>
      </c>
    </row>
    <row r="1057" ht="17" customHeight="1">
      <c r="A1057" s="2" t="inlineStr">
        <is>
          <t>E-7</t>
        </is>
      </c>
      <c r="B1057" s="3" t="inlineStr">
        <is>
          <t>ESC</t>
        </is>
      </c>
      <c r="C1057" s="3" t="inlineStr">
        <is>
          <t>escalation.tests.test_routing</t>
        </is>
      </c>
      <c r="D1057" s="3" t="inlineStr">
        <is>
          <t>TestRouting</t>
        </is>
      </c>
      <c r="E1057" s="3" t="inlineStr">
        <is>
          <t>test_an_inactive_forum_cannot_be_a_destination</t>
        </is>
      </c>
      <c r="F1057" s="3" t="inlineStr">
        <is>
          <t>named method</t>
        </is>
      </c>
      <c r="G1057" s="2" t="n"/>
      <c r="H1057" s="2" t="n">
        <v>1</v>
      </c>
      <c r="I1057" s="3" t="inlineStr">
        <is>
          <t>consilium/escalation/tests/test_routing.py</t>
        </is>
      </c>
    </row>
    <row r="1058" ht="30" customHeight="1">
      <c r="A1058" s="2" t="inlineStr">
        <is>
          <t>E-8</t>
        </is>
      </c>
      <c r="B1058" s="3" t="inlineStr">
        <is>
          <t>ESC</t>
        </is>
      </c>
      <c r="C1058" s="3" t="inlineStr">
        <is>
          <t>escalation.tests.test_assignment_and_timing</t>
        </is>
      </c>
      <c r="D1058" s="3" t="inlineStr">
        <is>
          <t>TestAssignmentByGroup</t>
        </is>
      </c>
      <c r="E1058" s="3" t="inlineStr">
        <is>
          <t>test_the_rule_puts_the_matter_in_its_groups_queue</t>
        </is>
      </c>
      <c r="F1058" s="3" t="inlineStr">
        <is>
          <t>whole class</t>
        </is>
      </c>
      <c r="G1058" s="2" t="n">
        <v>10</v>
      </c>
      <c r="H1058" s="2" t="n">
        <v>10</v>
      </c>
      <c r="I1058" s="3" t="inlineStr">
        <is>
          <t>consilium/escalation/tests/test_assignment_and_timing.py</t>
        </is>
      </c>
    </row>
    <row r="1059" ht="30" customHeight="1">
      <c r="A1059" s="2" t="inlineStr">
        <is>
          <t>E-8</t>
        </is>
      </c>
      <c r="B1059" s="3" t="inlineStr">
        <is>
          <t>ESC</t>
        </is>
      </c>
      <c r="C1059" s="3" t="inlineStr">
        <is>
          <t>escalation.tests.test_assignment_and_timing</t>
        </is>
      </c>
      <c r="D1059" s="3" t="inlineStr">
        <is>
          <t>TestAssignmentByGroup</t>
        </is>
      </c>
      <c r="E1059" s="3" t="inlineStr">
        <is>
          <t>test_the_queue_is_told_when_the_matter_enters_it</t>
        </is>
      </c>
      <c r="F1059" s="3" t="inlineStr">
        <is>
          <t>whole class</t>
        </is>
      </c>
      <c r="G1059" s="2" t="n">
        <v>10</v>
      </c>
      <c r="H1059" s="2" t="n">
        <v>10</v>
      </c>
      <c r="I1059" s="3" t="inlineStr">
        <is>
          <t>consilium/escalation/tests/test_assignment_and_timing.py</t>
        </is>
      </c>
    </row>
    <row r="1060" ht="30" customHeight="1">
      <c r="A1060" s="2" t="inlineStr">
        <is>
          <t>E-8</t>
        </is>
      </c>
      <c r="B1060" s="3" t="inlineStr">
        <is>
          <t>ESC</t>
        </is>
      </c>
      <c r="C1060" s="3" t="inlineStr">
        <is>
          <t>escalation.tests.test_assignment_and_timing</t>
        </is>
      </c>
      <c r="D1060" s="3" t="inlineStr">
        <is>
          <t>TestAssignmentByGroup</t>
        </is>
      </c>
      <c r="E1060" s="3" t="inlineStr">
        <is>
          <t>test_a_member_takes_ownership_and_it_leaves_every_queue</t>
        </is>
      </c>
      <c r="F1060" s="3" t="inlineStr">
        <is>
          <t>whole class</t>
        </is>
      </c>
      <c r="G1060" s="2" t="n">
        <v>10</v>
      </c>
      <c r="H1060" s="2" t="n">
        <v>10</v>
      </c>
      <c r="I1060" s="3" t="inlineStr">
        <is>
          <t>consilium/escalation/tests/test_assignment_and_timing.py</t>
        </is>
      </c>
    </row>
    <row r="1061" ht="30" customHeight="1">
      <c r="A1061" s="2" t="inlineStr">
        <is>
          <t>E-8</t>
        </is>
      </c>
      <c r="B1061" s="3" t="inlineStr">
        <is>
          <t>ESC</t>
        </is>
      </c>
      <c r="C1061" s="3" t="inlineStr">
        <is>
          <t>escalation.tests.test_assignment_and_timing</t>
        </is>
      </c>
      <c r="D1061" s="3" t="inlineStr">
        <is>
          <t>TestAssignmentByGroup</t>
        </is>
      </c>
      <c r="E1061" s="3" t="inlineStr">
        <is>
          <t>test_a_matter_already_taken_is_refused_with_its_owner</t>
        </is>
      </c>
      <c r="F1061" s="3" t="inlineStr">
        <is>
          <t>whole class</t>
        </is>
      </c>
      <c r="G1061" s="2" t="n">
        <v>10</v>
      </c>
      <c r="H1061" s="2" t="n">
        <v>10</v>
      </c>
      <c r="I1061" s="3" t="inlineStr">
        <is>
          <t>consilium/escalation/tests/test_assignment_and_timing.py</t>
        </is>
      </c>
    </row>
    <row r="1062" ht="30" customHeight="1">
      <c r="A1062" s="2" t="inlineStr">
        <is>
          <t>E-8</t>
        </is>
      </c>
      <c r="B1062" s="3" t="inlineStr">
        <is>
          <t>ESC</t>
        </is>
      </c>
      <c r="C1062" s="3" t="inlineStr">
        <is>
          <t>escalation.tests.test_assignment_and_timing</t>
        </is>
      </c>
      <c r="D1062" s="3" t="inlineStr">
        <is>
          <t>TestAssignmentByGroup</t>
        </is>
      </c>
      <c r="E1062" s="3" t="inlineStr">
        <is>
          <t>test_someone_outside_the_queue_is_refused_and_audited</t>
        </is>
      </c>
      <c r="F1062" s="3" t="inlineStr">
        <is>
          <t>whole class</t>
        </is>
      </c>
      <c r="G1062" s="2" t="n">
        <v>10</v>
      </c>
      <c r="H1062" s="2" t="n">
        <v>10</v>
      </c>
      <c r="I1062" s="3" t="inlineStr">
        <is>
          <t>consilium/escalation/tests/test_assignment_and_timing.py</t>
        </is>
      </c>
    </row>
    <row r="1063" ht="30" customHeight="1">
      <c r="A1063" s="2" t="inlineStr">
        <is>
          <t>E-8</t>
        </is>
      </c>
      <c r="B1063" s="3" t="inlineStr">
        <is>
          <t>ESC</t>
        </is>
      </c>
      <c r="C1063" s="3" t="inlineStr">
        <is>
          <t>escalation.tests.test_assignment_and_timing</t>
        </is>
      </c>
      <c r="D1063" s="3" t="inlineStr">
        <is>
          <t>TestAssignmentByGroup</t>
        </is>
      </c>
      <c r="E1063" s="3" t="inlineStr">
        <is>
          <t>test_a_member_without_the_owner_role_cannot_take_it</t>
        </is>
      </c>
      <c r="F1063" s="3" t="inlineStr">
        <is>
          <t>whole class</t>
        </is>
      </c>
      <c r="G1063" s="2" t="n">
        <v>10</v>
      </c>
      <c r="H1063" s="2" t="n">
        <v>10</v>
      </c>
      <c r="I1063" s="3" t="inlineStr">
        <is>
          <t>consilium/escalation/tests/test_assignment_and_timing.py</t>
        </is>
      </c>
    </row>
    <row r="1064" ht="30" customHeight="1">
      <c r="A1064" s="2" t="inlineStr">
        <is>
          <t>E-8</t>
        </is>
      </c>
      <c r="B1064" s="3" t="inlineStr">
        <is>
          <t>ESC</t>
        </is>
      </c>
      <c r="C1064" s="3" t="inlineStr">
        <is>
          <t>escalation.tests.test_assignment_and_timing</t>
        </is>
      </c>
      <c r="D1064" s="3" t="inlineStr">
        <is>
          <t>TestAssignmentByGroup</t>
        </is>
      </c>
      <c r="E1064" s="3" t="inlineStr">
        <is>
          <t>test_an_owner_named_from_the_queue_has_already_taken_it</t>
        </is>
      </c>
      <c r="F1064" s="3" t="inlineStr">
        <is>
          <t>whole class</t>
        </is>
      </c>
      <c r="G1064" s="2" t="n">
        <v>10</v>
      </c>
      <c r="H1064" s="2" t="n">
        <v>10</v>
      </c>
      <c r="I1064" s="3" t="inlineStr">
        <is>
          <t>consilium/escalation/tests/test_assignment_and_timing.py</t>
        </is>
      </c>
    </row>
    <row r="1065" ht="30" customHeight="1">
      <c r="A1065" s="2" t="inlineStr">
        <is>
          <t>E-8</t>
        </is>
      </c>
      <c r="B1065" s="3" t="inlineStr">
        <is>
          <t>ESC</t>
        </is>
      </c>
      <c r="C1065" s="3" t="inlineStr">
        <is>
          <t>escalation.tests.test_assignment_and_timing</t>
        </is>
      </c>
      <c r="D1065" s="3" t="inlineStr">
        <is>
          <t>TestAssignmentByGroup</t>
        </is>
      </c>
      <c r="E1065" s="3" t="inlineStr">
        <is>
          <t>test_a_sensitive_matter_reaches_its_group_but_only_cleared_holders_of_a_role</t>
        </is>
      </c>
      <c r="F1065" s="3" t="inlineStr">
        <is>
          <t>whole class</t>
        </is>
      </c>
      <c r="G1065" s="2" t="n">
        <v>10</v>
      </c>
      <c r="H1065" s="2" t="n">
        <v>10</v>
      </c>
      <c r="I1065" s="3" t="inlineStr">
        <is>
          <t>consilium/escalation/tests/test_assignment_and_timing.py</t>
        </is>
      </c>
    </row>
    <row r="1066" ht="30" customHeight="1">
      <c r="A1066" s="2" t="inlineStr">
        <is>
          <t>E-8</t>
        </is>
      </c>
      <c r="B1066" s="3" t="inlineStr">
        <is>
          <t>ESC</t>
        </is>
      </c>
      <c r="C1066" s="3" t="inlineStr">
        <is>
          <t>escalation.tests.test_assignment_and_timing</t>
        </is>
      </c>
      <c r="D1066" s="3" t="inlineStr">
        <is>
          <t>TestAssignmentByGroup</t>
        </is>
      </c>
      <c r="E1066" s="3" t="inlineStr">
        <is>
          <t>test_a_sensitive_matter_in_a_role_queue_reaches_only_cleared_holders</t>
        </is>
      </c>
      <c r="F1066" s="3" t="inlineStr">
        <is>
          <t>whole class</t>
        </is>
      </c>
      <c r="G1066" s="2" t="n">
        <v>10</v>
      </c>
      <c r="H1066" s="2" t="n">
        <v>10</v>
      </c>
      <c r="I1066" s="3" t="inlineStr">
        <is>
          <t>consilium/escalation/tests/test_assignment_and_timing.py</t>
        </is>
      </c>
    </row>
    <row r="1067" ht="30" customHeight="1">
      <c r="A1067" s="2" t="inlineStr">
        <is>
          <t>E-8</t>
        </is>
      </c>
      <c r="B1067" s="3" t="inlineStr">
        <is>
          <t>ESC</t>
        </is>
      </c>
      <c r="C1067" s="3" t="inlineStr">
        <is>
          <t>escalation.tests.test_assignment_and_timing</t>
        </is>
      </c>
      <c r="D1067" s="3" t="inlineStr">
        <is>
          <t>TestAssignmentByGroup</t>
        </is>
      </c>
      <c r="E1067" s="3" t="inlineStr">
        <is>
          <t>test_a_rule_without_a_queue_clears_it</t>
        </is>
      </c>
      <c r="F1067" s="3" t="inlineStr">
        <is>
          <t>whole class</t>
        </is>
      </c>
      <c r="G1067" s="2" t="n">
        <v>10</v>
      </c>
      <c r="H1067" s="2" t="n">
        <v>10</v>
      </c>
      <c r="I1067" s="3" t="inlineStr">
        <is>
          <t>consilium/escalation/tests/test_assignment_and_timing.py</t>
        </is>
      </c>
    </row>
    <row r="1068" ht="30" customHeight="1">
      <c r="A1068" s="2" t="inlineStr">
        <is>
          <t>E-8</t>
        </is>
      </c>
      <c r="B1068" s="3" t="inlineStr">
        <is>
          <t>ESC</t>
        </is>
      </c>
      <c r="C1068" s="3" t="inlineStr">
        <is>
          <t>escalation.tests.test_assignment_and_timing</t>
        </is>
      </c>
      <c r="D1068" s="3" t="inlineStr">
        <is>
          <t>TestAssignmentByRole</t>
        </is>
      </c>
      <c r="E1068" s="3" t="inlineStr">
        <is>
          <t>test_every_holder_of_the_role_sees_it_and_one_takes_it</t>
        </is>
      </c>
      <c r="F1068" s="3" t="inlineStr">
        <is>
          <t>whole class</t>
        </is>
      </c>
      <c r="G1068" s="2" t="n">
        <v>1</v>
      </c>
      <c r="H1068" s="2" t="n">
        <v>1</v>
      </c>
      <c r="I1068" s="3" t="inlineStr">
        <is>
          <t>consilium/escalation/tests/test_assignment_and_timing.py</t>
        </is>
      </c>
    </row>
    <row r="1069" ht="30" customHeight="1">
      <c r="A1069" s="2" t="inlineStr">
        <is>
          <t>E-8</t>
        </is>
      </c>
      <c r="B1069" s="3" t="inlineStr">
        <is>
          <t>ESC</t>
        </is>
      </c>
      <c r="C1069" s="3" t="inlineStr">
        <is>
          <t>escalation.tests.test_participants</t>
        </is>
      </c>
      <c r="D1069" s="3" t="inlineStr">
        <is>
          <t>TestPathwayParticipants</t>
        </is>
      </c>
      <c r="E1069" s="3" t="inlineStr">
        <is>
          <t>test_material_entity_impact_notifies_them_and_stamps_the_forum</t>
        </is>
      </c>
      <c r="F1069" s="3" t="inlineStr">
        <is>
          <t>named method</t>
        </is>
      </c>
      <c r="G1069" s="2" t="n"/>
      <c r="H1069" s="2" t="n">
        <v>1</v>
      </c>
      <c r="I1069" s="3" t="inlineStr">
        <is>
          <t>consilium/escalation/tests/test_participants.py</t>
        </is>
      </c>
    </row>
    <row r="1070" ht="17" customHeight="1">
      <c r="A1070" s="2" t="inlineStr">
        <is>
          <t>E-8</t>
        </is>
      </c>
      <c r="B1070" s="3" t="inlineStr">
        <is>
          <t>ESC</t>
        </is>
      </c>
      <c r="C1070" s="3" t="inlineStr">
        <is>
          <t>escalation.tests.test_resolution</t>
        </is>
      </c>
      <c r="D1070" s="3" t="inlineStr">
        <is>
          <t>TestSecondLineChallenge</t>
        </is>
      </c>
      <c r="E1070" s="3" t="inlineStr">
        <is>
          <t>test_material_entity_impact_notifies</t>
        </is>
      </c>
      <c r="F1070" s="3" t="inlineStr">
        <is>
          <t>named method</t>
        </is>
      </c>
      <c r="G1070" s="2" t="n"/>
      <c r="H1070" s="2" t="n">
        <v>1</v>
      </c>
      <c r="I1070" s="3" t="inlineStr">
        <is>
          <t>consilium/escalation/tests/test_resolution.py</t>
        </is>
      </c>
    </row>
    <row r="1071" ht="17" customHeight="1">
      <c r="A1071" s="2" t="inlineStr">
        <is>
          <t>E-8</t>
        </is>
      </c>
      <c r="B1071" s="3" t="inlineStr">
        <is>
          <t>ESC</t>
        </is>
      </c>
      <c r="C1071" s="3" t="inlineStr">
        <is>
          <t>escalation.tests.test_routing</t>
        </is>
      </c>
      <c r="D1071" s="3" t="inlineStr">
        <is>
          <t>TestRouting</t>
        </is>
      </c>
      <c r="E1071" s="3" t="inlineStr">
        <is>
          <t>test_a_matter_of_a_given_type_proposes_its_destination</t>
        </is>
      </c>
      <c r="F1071" s="3" t="inlineStr">
        <is>
          <t>whole class</t>
        </is>
      </c>
      <c r="G1071" s="2" t="n">
        <v>12</v>
      </c>
      <c r="H1071" s="2" t="n">
        <v>12</v>
      </c>
      <c r="I1071" s="3" t="inlineStr">
        <is>
          <t>consilium/escalation/tests/test_routing.py</t>
        </is>
      </c>
    </row>
    <row r="1072" ht="17" customHeight="1">
      <c r="A1072" s="2" t="inlineStr">
        <is>
          <t>E-8</t>
        </is>
      </c>
      <c r="B1072" s="3" t="inlineStr">
        <is>
          <t>ESC</t>
        </is>
      </c>
      <c r="C1072" s="3" t="inlineStr">
        <is>
          <t>escalation.tests.test_routing</t>
        </is>
      </c>
      <c r="D1072" s="3" t="inlineStr">
        <is>
          <t>TestRouting</t>
        </is>
      </c>
      <c r="E1072" s="3" t="inlineStr">
        <is>
          <t>test_the_forums_protocol_and_threshold_are_shown</t>
        </is>
      </c>
      <c r="F1072" s="3" t="inlineStr">
        <is>
          <t>whole class</t>
        </is>
      </c>
      <c r="G1072" s="2" t="n">
        <v>12</v>
      </c>
      <c r="H1072" s="2" t="n">
        <v>12</v>
      </c>
      <c r="I1072" s="3" t="inlineStr">
        <is>
          <t>consilium/escalation/tests/test_routing.py</t>
        </is>
      </c>
    </row>
    <row r="1073" ht="17" customHeight="1">
      <c r="A1073" s="2" t="inlineStr">
        <is>
          <t>E-8</t>
        </is>
      </c>
      <c r="B1073" s="3" t="inlineStr">
        <is>
          <t>ESC</t>
        </is>
      </c>
      <c r="C1073" s="3" t="inlineStr">
        <is>
          <t>escalation.tests.test_routing</t>
        </is>
      </c>
      <c r="D1073" s="3" t="inlineStr">
        <is>
          <t>TestRouting</t>
        </is>
      </c>
      <c r="E1073" s="3" t="inlineStr">
        <is>
          <t>test_a_manual_override_keeps_the_persons_severity</t>
        </is>
      </c>
      <c r="F1073" s="3" t="inlineStr">
        <is>
          <t>whole class</t>
        </is>
      </c>
      <c r="G1073" s="2" t="n">
        <v>12</v>
      </c>
      <c r="H1073" s="2" t="n">
        <v>12</v>
      </c>
      <c r="I1073" s="3" t="inlineStr">
        <is>
          <t>consilium/escalation/tests/test_routing.py</t>
        </is>
      </c>
    </row>
    <row r="1074" ht="17" customHeight="1">
      <c r="A1074" s="2" t="inlineStr">
        <is>
          <t>E-8</t>
        </is>
      </c>
      <c r="B1074" s="3" t="inlineStr">
        <is>
          <t>ESC</t>
        </is>
      </c>
      <c r="C1074" s="3" t="inlineStr">
        <is>
          <t>escalation.tests.test_routing</t>
        </is>
      </c>
      <c r="D1074" s="3" t="inlineStr">
        <is>
          <t>TestRouting</t>
        </is>
      </c>
      <c r="E1074" s="3" t="inlineStr">
        <is>
          <t>test_rules_fire_in_priority_order</t>
        </is>
      </c>
      <c r="F1074" s="3" t="inlineStr">
        <is>
          <t>whole class</t>
        </is>
      </c>
      <c r="G1074" s="2" t="n">
        <v>12</v>
      </c>
      <c r="H1074" s="2" t="n">
        <v>12</v>
      </c>
      <c r="I1074" s="3" t="inlineStr">
        <is>
          <t>consilium/escalation/tests/test_routing.py</t>
        </is>
      </c>
    </row>
    <row r="1075" ht="17" customHeight="1">
      <c r="A1075" s="2" t="inlineStr">
        <is>
          <t>E-8</t>
        </is>
      </c>
      <c r="B1075" s="3" t="inlineStr">
        <is>
          <t>ESC</t>
        </is>
      </c>
      <c r="C1075" s="3" t="inlineStr">
        <is>
          <t>escalation.tests.test_routing</t>
        </is>
      </c>
      <c r="D1075" s="3" t="inlineStr">
        <is>
          <t>TestRouting</t>
        </is>
      </c>
      <c r="E1075" s="3" t="inlineStr">
        <is>
          <t>test_severity_is_a_routable_attribute</t>
        </is>
      </c>
      <c r="F1075" s="3" t="inlineStr">
        <is>
          <t>whole class</t>
        </is>
      </c>
      <c r="G1075" s="2" t="n">
        <v>12</v>
      </c>
      <c r="H1075" s="2" t="n">
        <v>12</v>
      </c>
      <c r="I1075" s="3" t="inlineStr">
        <is>
          <t>consilium/escalation/tests/test_routing.py</t>
        </is>
      </c>
    </row>
    <row r="1076" ht="17" customHeight="1">
      <c r="A1076" s="2" t="inlineStr">
        <is>
          <t>E-8</t>
        </is>
      </c>
      <c r="B1076" s="3" t="inlineStr">
        <is>
          <t>ESC</t>
        </is>
      </c>
      <c r="C1076" s="3" t="inlineStr">
        <is>
          <t>escalation.tests.test_routing</t>
        </is>
      </c>
      <c r="D1076" s="3" t="inlineStr">
        <is>
          <t>TestRouting</t>
        </is>
      </c>
      <c r="E1076" s="3" t="inlineStr">
        <is>
          <t>test_a_matrix_out_of_its_effective_window_does_not_fire</t>
        </is>
      </c>
      <c r="F1076" s="3" t="inlineStr">
        <is>
          <t>whole class</t>
        </is>
      </c>
      <c r="G1076" s="2" t="n">
        <v>12</v>
      </c>
      <c r="H1076" s="2" t="n">
        <v>12</v>
      </c>
      <c r="I1076" s="3" t="inlineStr">
        <is>
          <t>consilium/escalation/tests/test_routing.py</t>
        </is>
      </c>
    </row>
    <row r="1077" ht="17" customHeight="1">
      <c r="A1077" s="2" t="inlineStr">
        <is>
          <t>E-8</t>
        </is>
      </c>
      <c r="B1077" s="3" t="inlineStr">
        <is>
          <t>ESC</t>
        </is>
      </c>
      <c r="C1077" s="3" t="inlineStr">
        <is>
          <t>escalation.tests.test_routing</t>
        </is>
      </c>
      <c r="D1077" s="3" t="inlineStr">
        <is>
          <t>TestRouting</t>
        </is>
      </c>
      <c r="E1077" s="3" t="inlineStr">
        <is>
          <t>test_an_inactive_forum_cannot_be_a_destination</t>
        </is>
      </c>
      <c r="F1077" s="3" t="inlineStr">
        <is>
          <t>whole class</t>
        </is>
      </c>
      <c r="G1077" s="2" t="n">
        <v>12</v>
      </c>
      <c r="H1077" s="2" t="n">
        <v>12</v>
      </c>
      <c r="I1077" s="3" t="inlineStr">
        <is>
          <t>consilium/escalation/tests/test_routing.py</t>
        </is>
      </c>
    </row>
    <row r="1078" ht="17" customHeight="1">
      <c r="A1078" s="2" t="inlineStr">
        <is>
          <t>E-8</t>
        </is>
      </c>
      <c r="B1078" s="3" t="inlineStr">
        <is>
          <t>ESC</t>
        </is>
      </c>
      <c r="C1078" s="3" t="inlineStr">
        <is>
          <t>escalation.tests.test_routing</t>
        </is>
      </c>
      <c r="D1078" s="3" t="inlineStr">
        <is>
          <t>TestRouting</t>
        </is>
      </c>
      <c r="E1078" s="3" t="inlineStr">
        <is>
          <t>test_the_same_forum_cannot_appear_twice_on_a_pathway</t>
        </is>
      </c>
      <c r="F1078" s="3" t="inlineStr">
        <is>
          <t>whole class</t>
        </is>
      </c>
      <c r="G1078" s="2" t="n">
        <v>12</v>
      </c>
      <c r="H1078" s="2" t="n">
        <v>12</v>
      </c>
      <c r="I1078" s="3" t="inlineStr">
        <is>
          <t>consilium/escalation/tests/test_routing.py</t>
        </is>
      </c>
    </row>
    <row r="1079" ht="17" customHeight="1">
      <c r="A1079" s="2" t="inlineStr">
        <is>
          <t>E-8</t>
        </is>
      </c>
      <c r="B1079" s="3" t="inlineStr">
        <is>
          <t>ESC</t>
        </is>
      </c>
      <c r="C1079" s="3" t="inlineStr">
        <is>
          <t>escalation.tests.test_routing</t>
        </is>
      </c>
      <c r="D1079" s="3" t="inlineStr">
        <is>
          <t>TestRouting</t>
        </is>
      </c>
      <c r="E1079" s="3" t="inlineStr">
        <is>
          <t>test_a_condition_may_only_test_a_routable_attribute</t>
        </is>
      </c>
      <c r="F1079" s="3" t="inlineStr">
        <is>
          <t>whole class</t>
        </is>
      </c>
      <c r="G1079" s="2" t="n">
        <v>12</v>
      </c>
      <c r="H1079" s="2" t="n">
        <v>12</v>
      </c>
      <c r="I1079" s="3" t="inlineStr">
        <is>
          <t>consilium/escalation/tests/test_routing.py</t>
        </is>
      </c>
    </row>
    <row r="1080" ht="17" customHeight="1">
      <c r="A1080" s="2" t="inlineStr">
        <is>
          <t>E-8</t>
        </is>
      </c>
      <c r="B1080" s="3" t="inlineStr">
        <is>
          <t>ESC</t>
        </is>
      </c>
      <c r="C1080" s="3" t="inlineStr">
        <is>
          <t>escalation.tests.test_routing</t>
        </is>
      </c>
      <c r="D1080" s="3" t="inlineStr">
        <is>
          <t>TestRouting</t>
        </is>
      </c>
      <c r="E1080" s="3" t="inlineStr">
        <is>
          <t>test_a_destination_must_name_a_rule_the_matrix_defines</t>
        </is>
      </c>
      <c r="F1080" s="3" t="inlineStr">
        <is>
          <t>whole class</t>
        </is>
      </c>
      <c r="G1080" s="2" t="n">
        <v>12</v>
      </c>
      <c r="H1080" s="2" t="n">
        <v>12</v>
      </c>
      <c r="I1080" s="3" t="inlineStr">
        <is>
          <t>consilium/escalation/tests/test_routing.py</t>
        </is>
      </c>
    </row>
    <row r="1081" ht="17" customHeight="1">
      <c r="A1081" s="2" t="inlineStr">
        <is>
          <t>E-8</t>
        </is>
      </c>
      <c r="B1081" s="3" t="inlineStr">
        <is>
          <t>ESC</t>
        </is>
      </c>
      <c r="C1081" s="3" t="inlineStr">
        <is>
          <t>escalation.tests.test_routing</t>
        </is>
      </c>
      <c r="D1081" s="3" t="inlineStr">
        <is>
          <t>TestRouting</t>
        </is>
      </c>
      <c r="E1081" s="3" t="inlineStr">
        <is>
          <t>test_a_rule_code_cannot_repeat_within_a_matrix</t>
        </is>
      </c>
      <c r="F1081" s="3" t="inlineStr">
        <is>
          <t>whole class</t>
        </is>
      </c>
      <c r="G1081" s="2" t="n">
        <v>12</v>
      </c>
      <c r="H1081" s="2" t="n">
        <v>12</v>
      </c>
      <c r="I1081" s="3" t="inlineStr">
        <is>
          <t>consilium/escalation/tests/test_routing.py</t>
        </is>
      </c>
    </row>
    <row r="1082" ht="17" customHeight="1">
      <c r="A1082" s="2" t="inlineStr">
        <is>
          <t>E-8</t>
        </is>
      </c>
      <c r="B1082" s="3" t="inlineStr">
        <is>
          <t>ESC</t>
        </is>
      </c>
      <c r="C1082" s="3" t="inlineStr">
        <is>
          <t>escalation.tests.test_routing</t>
        </is>
      </c>
      <c r="D1082" s="3" t="inlineStr">
        <is>
          <t>TestRouting</t>
        </is>
      </c>
      <c r="E1082" s="3" t="inlineStr">
        <is>
          <t>test_matrix_scope_limits_which_matters_it_routes</t>
        </is>
      </c>
      <c r="F1082" s="3" t="inlineStr">
        <is>
          <t>whole class</t>
        </is>
      </c>
      <c r="G1082" s="2" t="n">
        <v>12</v>
      </c>
      <c r="H1082" s="2" t="n">
        <v>12</v>
      </c>
      <c r="I1082" s="3" t="inlineStr">
        <is>
          <t>consilium/escalation/tests/test_routing.py</t>
        </is>
      </c>
    </row>
    <row r="1083" ht="30" customHeight="1">
      <c r="A1083" s="2" t="inlineStr">
        <is>
          <t>E-9</t>
        </is>
      </c>
      <c r="B1083" s="3" t="inlineStr">
        <is>
          <t>ESC</t>
        </is>
      </c>
      <c r="C1083" s="3" t="inlineStr">
        <is>
          <t>escalation.tests.test_assignment_and_timing</t>
        </is>
      </c>
      <c r="D1083" s="3" t="inlineStr">
        <is>
          <t>TestSystemicRoute</t>
        </is>
      </c>
      <c r="E1083" s="3" t="inlineStr">
        <is>
          <t>test_flagging_a_matter_systemic_reroutes_it_to_the_higher_forum_and_owner</t>
        </is>
      </c>
      <c r="F1083" s="3" t="inlineStr">
        <is>
          <t>whole class</t>
        </is>
      </c>
      <c r="G1083" s="2" t="n">
        <v>2</v>
      </c>
      <c r="H1083" s="2" t="n">
        <v>2</v>
      </c>
      <c r="I1083" s="3" t="inlineStr">
        <is>
          <t>consilium/escalation/tests/test_assignment_and_timing.py</t>
        </is>
      </c>
    </row>
    <row r="1084" ht="30" customHeight="1">
      <c r="A1084" s="2" t="inlineStr">
        <is>
          <t>E-9</t>
        </is>
      </c>
      <c r="B1084" s="3" t="inlineStr">
        <is>
          <t>ESC</t>
        </is>
      </c>
      <c r="C1084" s="3" t="inlineStr">
        <is>
          <t>escalation.tests.test_assignment_and_timing</t>
        </is>
      </c>
      <c r="D1084" s="3" t="inlineStr">
        <is>
          <t>TestSystemicRoute</t>
        </is>
      </c>
      <c r="E1084" s="3" t="inlineStr">
        <is>
          <t>test_the_matrix_proposes_the_systemic_route_before_the_matter_is_saved</t>
        </is>
      </c>
      <c r="F1084" s="3" t="inlineStr">
        <is>
          <t>whole class</t>
        </is>
      </c>
      <c r="G1084" s="2" t="n">
        <v>2</v>
      </c>
      <c r="H1084" s="2" t="n">
        <v>2</v>
      </c>
      <c r="I1084" s="3" t="inlineStr">
        <is>
          <t>consilium/escalation/tests/test_assignment_and_timing.py</t>
        </is>
      </c>
    </row>
    <row r="1085" ht="30" customHeight="1">
      <c r="A1085" s="2" t="inlineStr">
        <is>
          <t>E-9</t>
        </is>
      </c>
      <c r="B1085" s="3" t="inlineStr">
        <is>
          <t>ESC</t>
        </is>
      </c>
      <c r="C1085" s="3" t="inlineStr">
        <is>
          <t>escalation.tests.test_assignment_and_timing</t>
        </is>
      </c>
      <c r="D1085" s="3" t="inlineStr">
        <is>
          <t>TestChallengeServiceLevel</t>
        </is>
      </c>
      <c r="E1085" s="3" t="inlineStr">
        <is>
          <t>test_the_clock_starts_when_the_matter_goes_to_the_second_line_and_stops_when_it_comes_back</t>
        </is>
      </c>
      <c r="F1085" s="3" t="inlineStr">
        <is>
          <t>whole class</t>
        </is>
      </c>
      <c r="G1085" s="2" t="n">
        <v>3</v>
      </c>
      <c r="H1085" s="2" t="n">
        <v>3</v>
      </c>
      <c r="I1085" s="3" t="inlineStr">
        <is>
          <t>consilium/escalation/tests/test_assignment_and_timing.py</t>
        </is>
      </c>
    </row>
    <row r="1086" ht="30" customHeight="1">
      <c r="A1086" s="2" t="inlineStr">
        <is>
          <t>E-9</t>
        </is>
      </c>
      <c r="B1086" s="3" t="inlineStr">
        <is>
          <t>ESC</t>
        </is>
      </c>
      <c r="C1086" s="3" t="inlineStr">
        <is>
          <t>escalation.tests.test_assignment_and_timing</t>
        </is>
      </c>
      <c r="D1086" s="3" t="inlineStr">
        <is>
          <t>TestChallengeServiceLevel</t>
        </is>
      </c>
      <c r="E1086" s="3" t="inlineStr">
        <is>
          <t>test_a_matter_that_is_not_systemic_runs_no_challenge_clock</t>
        </is>
      </c>
      <c r="F1086" s="3" t="inlineStr">
        <is>
          <t>whole class</t>
        </is>
      </c>
      <c r="G1086" s="2" t="n">
        <v>3</v>
      </c>
      <c r="H1086" s="2" t="n">
        <v>3</v>
      </c>
      <c r="I1086" s="3" t="inlineStr">
        <is>
          <t>consilium/escalation/tests/test_assignment_and_timing.py</t>
        </is>
      </c>
    </row>
    <row r="1087" ht="30" customHeight="1">
      <c r="A1087" s="2" t="inlineStr">
        <is>
          <t>E-9</t>
        </is>
      </c>
      <c r="B1087" s="3" t="inlineStr">
        <is>
          <t>ESC</t>
        </is>
      </c>
      <c r="C1087" s="3" t="inlineStr">
        <is>
          <t>escalation.tests.test_assignment_and_timing</t>
        </is>
      </c>
      <c r="D1087" s="3" t="inlineStr">
        <is>
          <t>TestChallengeServiceLevel</t>
        </is>
      </c>
      <c r="E1087" s="3" t="inlineStr">
        <is>
          <t>test_a_late_challenge_breaches_without_raising_the_matter</t>
        </is>
      </c>
      <c r="F1087" s="3" t="inlineStr">
        <is>
          <t>whole class</t>
        </is>
      </c>
      <c r="G1087" s="2" t="n">
        <v>3</v>
      </c>
      <c r="H1087" s="2" t="n">
        <v>3</v>
      </c>
      <c r="I1087" s="3" t="inlineStr">
        <is>
          <t>consilium/escalation/tests/test_assignment_and_timing.py</t>
        </is>
      </c>
    </row>
    <row r="1088" ht="30" customHeight="1">
      <c r="A1088" s="2" t="inlineStr">
        <is>
          <t>E-9</t>
        </is>
      </c>
      <c r="B1088" s="3" t="inlineStr">
        <is>
          <t>ESC</t>
        </is>
      </c>
      <c r="C1088" s="3" t="inlineStr">
        <is>
          <t>escalation.tests.test_portal_actions</t>
        </is>
      </c>
      <c r="D1088" s="3" t="inlineStr">
        <is>
          <t>TestReviewRounds</t>
        </is>
      </c>
      <c r="E1088" s="3" t="inlineStr">
        <is>
          <t>test_the_reviewer_records_a_round_on_a_matter_under_review</t>
        </is>
      </c>
      <c r="F1088" s="3" t="inlineStr">
        <is>
          <t>whole class</t>
        </is>
      </c>
      <c r="G1088" s="2" t="n">
        <v>5</v>
      </c>
      <c r="H1088" s="2" t="n">
        <v>5</v>
      </c>
      <c r="I1088" s="3" t="inlineStr">
        <is>
          <t>consilium/escalation/tests/test_portal_actions.py</t>
        </is>
      </c>
    </row>
    <row r="1089" ht="17" customHeight="1">
      <c r="A1089" s="2" t="inlineStr">
        <is>
          <t>E-9</t>
        </is>
      </c>
      <c r="B1089" s="3" t="inlineStr">
        <is>
          <t>ESC</t>
        </is>
      </c>
      <c r="C1089" s="3" t="inlineStr">
        <is>
          <t>escalation.tests.test_portal_actions</t>
        </is>
      </c>
      <c r="D1089" s="3" t="inlineStr">
        <is>
          <t>TestReviewRounds</t>
        </is>
      </c>
      <c r="E1089" s="3" t="inlineStr">
        <is>
          <t>test_an_open_round_is_completed_rather_than_duplicated</t>
        </is>
      </c>
      <c r="F1089" s="3" t="inlineStr">
        <is>
          <t>whole class</t>
        </is>
      </c>
      <c r="G1089" s="2" t="n">
        <v>5</v>
      </c>
      <c r="H1089" s="2" t="n">
        <v>5</v>
      </c>
      <c r="I1089" s="3" t="inlineStr">
        <is>
          <t>consilium/escalation/tests/test_portal_actions.py</t>
        </is>
      </c>
    </row>
    <row r="1090" ht="17" customHeight="1">
      <c r="A1090" s="2" t="inlineStr">
        <is>
          <t>E-9</t>
        </is>
      </c>
      <c r="B1090" s="3" t="inlineStr">
        <is>
          <t>ESC</t>
        </is>
      </c>
      <c r="C1090" s="3" t="inlineStr">
        <is>
          <t>escalation.tests.test_portal_actions</t>
        </is>
      </c>
      <c r="D1090" s="3" t="inlineStr">
        <is>
          <t>TestReviewRounds</t>
        </is>
      </c>
      <c r="E1090" s="3" t="inlineStr">
        <is>
          <t>test_no_round_while_the_matter_is_being_worked</t>
        </is>
      </c>
      <c r="F1090" s="3" t="inlineStr">
        <is>
          <t>whole class</t>
        </is>
      </c>
      <c r="G1090" s="2" t="n">
        <v>5</v>
      </c>
      <c r="H1090" s="2" t="n">
        <v>5</v>
      </c>
      <c r="I1090" s="3" t="inlineStr">
        <is>
          <t>consilium/escalation/tests/test_portal_actions.py</t>
        </is>
      </c>
    </row>
    <row r="1091" ht="30" customHeight="1">
      <c r="A1091" s="2" t="inlineStr">
        <is>
          <t>E-9</t>
        </is>
      </c>
      <c r="B1091" s="3" t="inlineStr">
        <is>
          <t>ESC</t>
        </is>
      </c>
      <c r="C1091" s="3" t="inlineStr">
        <is>
          <t>escalation.tests.test_portal_actions</t>
        </is>
      </c>
      <c r="D1091" s="3" t="inlineStr">
        <is>
          <t>TestReviewRounds</t>
        </is>
      </c>
      <c r="E1091" s="3" t="inlineStr">
        <is>
          <t>test_the_accountable_executive_cannot_challenge_their_own_matter</t>
        </is>
      </c>
      <c r="F1091" s="3" t="inlineStr">
        <is>
          <t>whole class</t>
        </is>
      </c>
      <c r="G1091" s="2" t="n">
        <v>5</v>
      </c>
      <c r="H1091" s="2" t="n">
        <v>5</v>
      </c>
      <c r="I1091" s="3" t="inlineStr">
        <is>
          <t>consilium/escalation/tests/test_portal_actions.py</t>
        </is>
      </c>
    </row>
    <row r="1092" ht="17" customHeight="1">
      <c r="A1092" s="2" t="inlineStr">
        <is>
          <t>E-9</t>
        </is>
      </c>
      <c r="B1092" s="3" t="inlineStr">
        <is>
          <t>ESC</t>
        </is>
      </c>
      <c r="C1092" s="3" t="inlineStr">
        <is>
          <t>escalation.tests.test_portal_actions</t>
        </is>
      </c>
      <c r="D1092" s="3" t="inlineStr">
        <is>
          <t>TestReviewRounds</t>
        </is>
      </c>
      <c r="E1092" s="3" t="inlineStr">
        <is>
          <t>test_the_owner_cannot_record_a_round</t>
        </is>
      </c>
      <c r="F1092" s="3" t="inlineStr">
        <is>
          <t>whole class</t>
        </is>
      </c>
      <c r="G1092" s="2" t="n">
        <v>5</v>
      </c>
      <c r="H1092" s="2" t="n">
        <v>5</v>
      </c>
      <c r="I1092" s="3" t="inlineStr">
        <is>
          <t>consilium/escalation/tests/test_portal_actions.py</t>
        </is>
      </c>
    </row>
    <row r="1093" ht="17" customHeight="1">
      <c r="A1093" s="2" t="inlineStr">
        <is>
          <t>E-9</t>
        </is>
      </c>
      <c r="B1093" s="3" t="inlineStr">
        <is>
          <t>ESC</t>
        </is>
      </c>
      <c r="C1093" s="3" t="inlineStr">
        <is>
          <t>escalation.tests.test_portal_actions</t>
        </is>
      </c>
      <c r="D1093" s="3" t="inlineStr">
        <is>
          <t>TestRiskAcceptanceApproval</t>
        </is>
      </c>
      <c r="E1093" s="3" t="inlineStr">
        <is>
          <t>test_a_proposal_has_no_effect</t>
        </is>
      </c>
      <c r="F1093" s="3" t="inlineStr">
        <is>
          <t>whole class</t>
        </is>
      </c>
      <c r="G1093" s="2" t="n">
        <v>9</v>
      </c>
      <c r="H1093" s="2" t="n">
        <v>9</v>
      </c>
      <c r="I1093" s="3" t="inlineStr">
        <is>
          <t>consilium/escalation/tests/test_portal_actions.py</t>
        </is>
      </c>
    </row>
    <row r="1094" ht="30" customHeight="1">
      <c r="A1094" s="2" t="inlineStr">
        <is>
          <t>E-9</t>
        </is>
      </c>
      <c r="B1094" s="3" t="inlineStr">
        <is>
          <t>ESC</t>
        </is>
      </c>
      <c r="C1094" s="3" t="inlineStr">
        <is>
          <t>escalation.tests.test_portal_actions</t>
        </is>
      </c>
      <c r="D1094" s="3" t="inlineStr">
        <is>
          <t>TestRiskAcceptanceApproval</t>
        </is>
      </c>
      <c r="E1094" s="3" t="inlineStr">
        <is>
          <t>test_the_named_approver_approves_and_the_acceptance_takes_effect</t>
        </is>
      </c>
      <c r="F1094" s="3" t="inlineStr">
        <is>
          <t>whole class</t>
        </is>
      </c>
      <c r="G1094" s="2" t="n">
        <v>9</v>
      </c>
      <c r="H1094" s="2" t="n">
        <v>9</v>
      </c>
      <c r="I1094" s="3" t="inlineStr">
        <is>
          <t>consilium/escalation/tests/test_portal_actions.py</t>
        </is>
      </c>
    </row>
    <row r="1095" ht="30" customHeight="1">
      <c r="A1095" s="2" t="inlineStr">
        <is>
          <t>E-9</t>
        </is>
      </c>
      <c r="B1095" s="3" t="inlineStr">
        <is>
          <t>ESC</t>
        </is>
      </c>
      <c r="C1095" s="3" t="inlineStr">
        <is>
          <t>escalation.tests.test_portal_actions</t>
        </is>
      </c>
      <c r="D1095" s="3" t="inlineStr">
        <is>
          <t>TestRiskAcceptanceApproval</t>
        </is>
      </c>
      <c r="E1095" s="3" t="inlineStr">
        <is>
          <t>test_a_rejection_needs_its_reason_and_returns_the_acceptance</t>
        </is>
      </c>
      <c r="F1095" s="3" t="inlineStr">
        <is>
          <t>whole class</t>
        </is>
      </c>
      <c r="G1095" s="2" t="n">
        <v>9</v>
      </c>
      <c r="H1095" s="2" t="n">
        <v>9</v>
      </c>
      <c r="I1095" s="3" t="inlineStr">
        <is>
          <t>consilium/escalation/tests/test_portal_actions.py</t>
        </is>
      </c>
    </row>
    <row r="1096" ht="17" customHeight="1">
      <c r="A1096" s="2" t="inlineStr">
        <is>
          <t>E-9</t>
        </is>
      </c>
      <c r="B1096" s="3" t="inlineStr">
        <is>
          <t>ESC</t>
        </is>
      </c>
      <c r="C1096" s="3" t="inlineStr">
        <is>
          <t>escalation.tests.test_portal_actions</t>
        </is>
      </c>
      <c r="D1096" s="3" t="inlineStr">
        <is>
          <t>TestRiskAcceptanceApproval</t>
        </is>
      </c>
      <c r="E1096" s="3" t="inlineStr">
        <is>
          <t>test_someone_else_cannot_decide_it</t>
        </is>
      </c>
      <c r="F1096" s="3" t="inlineStr">
        <is>
          <t>whole class</t>
        </is>
      </c>
      <c r="G1096" s="2" t="n">
        <v>9</v>
      </c>
      <c r="H1096" s="2" t="n">
        <v>9</v>
      </c>
      <c r="I1096" s="3" t="inlineStr">
        <is>
          <t>consilium/escalation/tests/test_portal_actions.py</t>
        </is>
      </c>
    </row>
    <row r="1097" ht="17" customHeight="1">
      <c r="A1097" s="2" t="inlineStr">
        <is>
          <t>E-9</t>
        </is>
      </c>
      <c r="B1097" s="3" t="inlineStr">
        <is>
          <t>ESC</t>
        </is>
      </c>
      <c r="C1097" s="3" t="inlineStr">
        <is>
          <t>escalation.tests.test_portal_actions</t>
        </is>
      </c>
      <c r="D1097" s="3" t="inlineStr">
        <is>
          <t>TestRiskAcceptanceApproval</t>
        </is>
      </c>
      <c r="E1097" s="3" t="inlineStr">
        <is>
          <t>test_an_approver_must_be_independent</t>
        </is>
      </c>
      <c r="F1097" s="3" t="inlineStr">
        <is>
          <t>whole class</t>
        </is>
      </c>
      <c r="G1097" s="2" t="n">
        <v>9</v>
      </c>
      <c r="H1097" s="2" t="n">
        <v>9</v>
      </c>
      <c r="I1097" s="3" t="inlineStr">
        <is>
          <t>consilium/escalation/tests/test_portal_actions.py</t>
        </is>
      </c>
    </row>
    <row r="1098" ht="17" customHeight="1">
      <c r="A1098" s="2" t="inlineStr">
        <is>
          <t>E-9</t>
        </is>
      </c>
      <c r="B1098" s="3" t="inlineStr">
        <is>
          <t>ESC</t>
        </is>
      </c>
      <c r="C1098" s="3" t="inlineStr">
        <is>
          <t>escalation.tests.test_portal_actions</t>
        </is>
      </c>
      <c r="D1098" s="3" t="inlineStr">
        <is>
          <t>TestRiskAcceptanceApproval</t>
        </is>
      </c>
      <c r="E1098" s="3" t="inlineStr">
        <is>
          <t>test_the_approver_must_hold_the_approver_role</t>
        </is>
      </c>
      <c r="F1098" s="3" t="inlineStr">
        <is>
          <t>whole class</t>
        </is>
      </c>
      <c r="G1098" s="2" t="n">
        <v>9</v>
      </c>
      <c r="H1098" s="2" t="n">
        <v>9</v>
      </c>
      <c r="I1098" s="3" t="inlineStr">
        <is>
          <t>consilium/escalation/tests/test_portal_actions.py</t>
        </is>
      </c>
    </row>
    <row r="1099" ht="17" customHeight="1">
      <c r="A1099" s="2" t="inlineStr">
        <is>
          <t>E-9</t>
        </is>
      </c>
      <c r="B1099" s="3" t="inlineStr">
        <is>
          <t>ESC</t>
        </is>
      </c>
      <c r="C1099" s="3" t="inlineStr">
        <is>
          <t>escalation.tests.test_portal_actions</t>
        </is>
      </c>
      <c r="D1099" s="3" t="inlineStr">
        <is>
          <t>TestRiskAcceptanceApproval</t>
        </is>
      </c>
      <c r="E1099" s="3" t="inlineStr">
        <is>
          <t>test_an_approver_who_cannot_see_the_matter_is_not_offered</t>
        </is>
      </c>
      <c r="F1099" s="3" t="inlineStr">
        <is>
          <t>whole class</t>
        </is>
      </c>
      <c r="G1099" s="2" t="n">
        <v>9</v>
      </c>
      <c r="H1099" s="2" t="n">
        <v>9</v>
      </c>
      <c r="I1099" s="3" t="inlineStr">
        <is>
          <t>consilium/escalation/tests/test_portal_actions.py</t>
        </is>
      </c>
    </row>
    <row r="1100" ht="17" customHeight="1">
      <c r="A1100" s="2" t="inlineStr">
        <is>
          <t>E-9</t>
        </is>
      </c>
      <c r="B1100" s="3" t="inlineStr">
        <is>
          <t>ESC</t>
        </is>
      </c>
      <c r="C1100" s="3" t="inlineStr">
        <is>
          <t>escalation.tests.test_portal_actions</t>
        </is>
      </c>
      <c r="D1100" s="3" t="inlineStr">
        <is>
          <t>TestRiskAcceptanceApproval</t>
        </is>
      </c>
      <c r="E1100" s="3" t="inlineStr">
        <is>
          <t>test_approval_cannot_be_requested_twice</t>
        </is>
      </c>
      <c r="F1100" s="3" t="inlineStr">
        <is>
          <t>whole class</t>
        </is>
      </c>
      <c r="G1100" s="2" t="n">
        <v>9</v>
      </c>
      <c r="H1100" s="2" t="n">
        <v>9</v>
      </c>
      <c r="I1100" s="3" t="inlineStr">
        <is>
          <t>consilium/escalation/tests/test_portal_actions.py</t>
        </is>
      </c>
    </row>
    <row r="1101" ht="30" customHeight="1">
      <c r="A1101" s="2" t="inlineStr">
        <is>
          <t>E-9</t>
        </is>
      </c>
      <c r="B1101" s="3" t="inlineStr">
        <is>
          <t>ESC</t>
        </is>
      </c>
      <c r="C1101" s="3" t="inlineStr">
        <is>
          <t>escalation.tests.test_portal_actions</t>
        </is>
      </c>
      <c r="D1101" s="3" t="inlineStr">
        <is>
          <t>TestRiskAcceptanceApproval</t>
        </is>
      </c>
      <c r="E1101" s="3" t="inlineStr">
        <is>
          <t>test_a_sensitive_matter_is_decided_only_by_a_cleared_approver</t>
        </is>
      </c>
      <c r="F1101" s="3" t="inlineStr">
        <is>
          <t>whole class</t>
        </is>
      </c>
      <c r="G1101" s="2" t="n">
        <v>9</v>
      </c>
      <c r="H1101" s="2" t="n">
        <v>9</v>
      </c>
      <c r="I1101" s="3" t="inlineStr">
        <is>
          <t>consilium/escalation/tests/test_portal_actions.py</t>
        </is>
      </c>
    </row>
    <row r="1102" ht="17" customHeight="1">
      <c r="A1102" s="2" t="inlineStr">
        <is>
          <t>E-9</t>
        </is>
      </c>
      <c r="B1102" s="3" t="inlineStr">
        <is>
          <t>ESC</t>
        </is>
      </c>
      <c r="C1102" s="3" t="inlineStr">
        <is>
          <t>escalation.tests.test_resolution</t>
        </is>
      </c>
      <c r="D1102" s="3" t="inlineStr">
        <is>
          <t>TestRiskAcceptanceApproval</t>
        </is>
      </c>
      <c r="E1102" s="3" t="inlineStr">
        <is>
          <t>test_an_acceptance_without_an_approval_cannot_take_effect</t>
        </is>
      </c>
      <c r="F1102" s="3" t="inlineStr">
        <is>
          <t>whole class</t>
        </is>
      </c>
      <c r="G1102" s="2" t="n">
        <v>5</v>
      </c>
      <c r="H1102" s="2" t="n">
        <v>5</v>
      </c>
      <c r="I1102" s="3" t="inlineStr">
        <is>
          <t>consilium/escalation/tests/test_resolution.py</t>
        </is>
      </c>
    </row>
    <row r="1103" ht="17" customHeight="1">
      <c r="A1103" s="2" t="inlineStr">
        <is>
          <t>E-9</t>
        </is>
      </c>
      <c r="B1103" s="3" t="inlineStr">
        <is>
          <t>ESC</t>
        </is>
      </c>
      <c r="C1103" s="3" t="inlineStr">
        <is>
          <t>escalation.tests.test_resolution</t>
        </is>
      </c>
      <c r="D1103" s="3" t="inlineStr">
        <is>
          <t>TestRiskAcceptanceApproval</t>
        </is>
      </c>
      <c r="E1103" s="3" t="inlineStr">
        <is>
          <t>test_an_explicit_approval_lets_it_take_effect</t>
        </is>
      </c>
      <c r="F1103" s="3" t="inlineStr">
        <is>
          <t>whole class</t>
        </is>
      </c>
      <c r="G1103" s="2" t="n">
        <v>5</v>
      </c>
      <c r="H1103" s="2" t="n">
        <v>5</v>
      </c>
      <c r="I1103" s="3" t="inlineStr">
        <is>
          <t>consilium/escalation/tests/test_resolution.py</t>
        </is>
      </c>
    </row>
    <row r="1104" ht="17" customHeight="1">
      <c r="A1104" s="2" t="inlineStr">
        <is>
          <t>E-9</t>
        </is>
      </c>
      <c r="B1104" s="3" t="inlineStr">
        <is>
          <t>ESC</t>
        </is>
      </c>
      <c r="C1104" s="3" t="inlineStr">
        <is>
          <t>escalation.tests.test_resolution</t>
        </is>
      </c>
      <c r="D1104" s="3" t="inlineStr">
        <is>
          <t>TestRiskAcceptanceApproval</t>
        </is>
      </c>
      <c r="E1104" s="3" t="inlineStr">
        <is>
          <t>test_a_rejected_decision_is_not_an_approval</t>
        </is>
      </c>
      <c r="F1104" s="3" t="inlineStr">
        <is>
          <t>whole class</t>
        </is>
      </c>
      <c r="G1104" s="2" t="n">
        <v>5</v>
      </c>
      <c r="H1104" s="2" t="n">
        <v>5</v>
      </c>
      <c r="I1104" s="3" t="inlineStr">
        <is>
          <t>consilium/escalation/tests/test_resolution.py</t>
        </is>
      </c>
    </row>
    <row r="1105" ht="17" customHeight="1">
      <c r="A1105" s="2" t="inlineStr">
        <is>
          <t>E-9</t>
        </is>
      </c>
      <c r="B1105" s="3" t="inlineStr">
        <is>
          <t>ESC</t>
        </is>
      </c>
      <c r="C1105" s="3" t="inlineStr">
        <is>
          <t>escalation.tests.test_resolution</t>
        </is>
      </c>
      <c r="D1105" s="3" t="inlineStr">
        <is>
          <t>TestRiskAcceptanceApproval</t>
        </is>
      </c>
      <c r="E1105" s="3" t="inlineStr">
        <is>
          <t>test_a_forum_motion_is_the_other_accepted_evidence</t>
        </is>
      </c>
      <c r="F1105" s="3" t="inlineStr">
        <is>
          <t>whole class</t>
        </is>
      </c>
      <c r="G1105" s="2" t="n">
        <v>5</v>
      </c>
      <c r="H1105" s="2" t="n">
        <v>5</v>
      </c>
      <c r="I1105" s="3" t="inlineStr">
        <is>
          <t>consilium/escalation/tests/test_resolution.py</t>
        </is>
      </c>
    </row>
    <row r="1106" ht="17" customHeight="1">
      <c r="A1106" s="2" t="inlineStr">
        <is>
          <t>E-9</t>
        </is>
      </c>
      <c r="B1106" s="3" t="inlineStr">
        <is>
          <t>ESC</t>
        </is>
      </c>
      <c r="C1106" s="3" t="inlineStr">
        <is>
          <t>escalation.tests.test_resolution</t>
        </is>
      </c>
      <c r="D1106" s="3" t="inlineStr">
        <is>
          <t>TestRiskAcceptanceApproval</t>
        </is>
      </c>
      <c r="E1106" s="3" t="inlineStr">
        <is>
          <t>test_the_acceptance_period_is_bounded</t>
        </is>
      </c>
      <c r="F1106" s="3" t="inlineStr">
        <is>
          <t>whole class</t>
        </is>
      </c>
      <c r="G1106" s="2" t="n">
        <v>5</v>
      </c>
      <c r="H1106" s="2" t="n">
        <v>5</v>
      </c>
      <c r="I1106" s="3" t="inlineStr">
        <is>
          <t>consilium/escalation/tests/test_resolution.py</t>
        </is>
      </c>
    </row>
    <row r="1107" ht="17" customHeight="1">
      <c r="A1107" s="2" t="inlineStr">
        <is>
          <t>E-9</t>
        </is>
      </c>
      <c r="B1107" s="3" t="inlineStr">
        <is>
          <t>ESC</t>
        </is>
      </c>
      <c r="C1107" s="3" t="inlineStr">
        <is>
          <t>escalation.tests.test_resolution</t>
        </is>
      </c>
      <c r="D1107" s="3" t="inlineStr">
        <is>
          <t>TestStatesAndClosure</t>
        </is>
      </c>
      <c r="E1107" s="3" t="inlineStr">
        <is>
          <t>test_closing_without_the_response_template_is_refused</t>
        </is>
      </c>
      <c r="F1107" s="3" t="inlineStr">
        <is>
          <t>named method</t>
        </is>
      </c>
      <c r="G1107" s="2" t="n"/>
      <c r="H1107" s="2" t="n">
        <v>1</v>
      </c>
      <c r="I1107" s="3" t="inlineStr">
        <is>
          <t>consilium/escalation/tests/test_resolution.py</t>
        </is>
      </c>
    </row>
    <row r="1108" ht="30" customHeight="1">
      <c r="A1108" s="2" t="inlineStr">
        <is>
          <t>E-9</t>
        </is>
      </c>
      <c r="B1108" s="3" t="inlineStr">
        <is>
          <t>ESC</t>
        </is>
      </c>
      <c r="C1108" s="3" t="inlineStr">
        <is>
          <t>consilium_core.tests.test_reminders</t>
        </is>
      </c>
      <c r="D1108" s="3" t="inlineStr">
        <is>
          <t>TestEscalationReminders</t>
        </is>
      </c>
      <c r="E1108" s="3" t="inlineStr">
        <is>
          <t>test_reassessment_due_and_overdue_reach_the_accountable_executive</t>
        </is>
      </c>
      <c r="F1108" s="3" t="inlineStr">
        <is>
          <t>whole class</t>
        </is>
      </c>
      <c r="G1108" s="2" t="n">
        <v>6</v>
      </c>
      <c r="H1108" s="2" t="n">
        <v>6</v>
      </c>
      <c r="I1108" s="3" t="inlineStr">
        <is>
          <t>consilium/consilium_core/tests/test_reminders.py</t>
        </is>
      </c>
    </row>
    <row r="1109" ht="30" customHeight="1">
      <c r="A1109" s="2" t="inlineStr">
        <is>
          <t>E-9</t>
        </is>
      </c>
      <c r="B1109" s="3" t="inlineStr">
        <is>
          <t>ESC</t>
        </is>
      </c>
      <c r="C1109" s="3" t="inlineStr">
        <is>
          <t>consilium_core.tests.test_reminders</t>
        </is>
      </c>
      <c r="D1109" s="3" t="inlineStr">
        <is>
          <t>TestEscalationReminders</t>
        </is>
      </c>
      <c r="E1109" s="3" t="inlineStr">
        <is>
          <t>test_an_acceptance_nearing_or_past_its_end_date_is_flagged</t>
        </is>
      </c>
      <c r="F1109" s="3" t="inlineStr">
        <is>
          <t>whole class</t>
        </is>
      </c>
      <c r="G1109" s="2" t="n">
        <v>6</v>
      </c>
      <c r="H1109" s="2" t="n">
        <v>6</v>
      </c>
      <c r="I1109" s="3" t="inlineStr">
        <is>
          <t>consilium/consilium_core/tests/test_reminders.py</t>
        </is>
      </c>
    </row>
    <row r="1110" ht="17" customHeight="1">
      <c r="A1110" s="2" t="inlineStr">
        <is>
          <t>E-9</t>
        </is>
      </c>
      <c r="B1110" s="3" t="inlineStr">
        <is>
          <t>ESC</t>
        </is>
      </c>
      <c r="C1110" s="3" t="inlineStr">
        <is>
          <t>consilium_core.tests.test_reminders</t>
        </is>
      </c>
      <c r="D1110" s="3" t="inlineStr">
        <is>
          <t>TestEscalationReminders</t>
        </is>
      </c>
      <c r="E1110" s="3" t="inlineStr">
        <is>
          <t>test_an_acceptance_not_in_force_is_left_alone</t>
        </is>
      </c>
      <c r="F1110" s="3" t="inlineStr">
        <is>
          <t>whole class</t>
        </is>
      </c>
      <c r="G1110" s="2" t="n">
        <v>6</v>
      </c>
      <c r="H1110" s="2" t="n">
        <v>6</v>
      </c>
      <c r="I1110" s="3" t="inlineStr">
        <is>
          <t>consilium/consilium_core/tests/test_reminders.py</t>
        </is>
      </c>
    </row>
    <row r="1111" ht="30" customHeight="1">
      <c r="A1111" s="2" t="inlineStr">
        <is>
          <t>E-9</t>
        </is>
      </c>
      <c r="B1111" s="3" t="inlineStr">
        <is>
          <t>ESC</t>
        </is>
      </c>
      <c r="C1111" s="3" t="inlineStr">
        <is>
          <t>consilium_core.tests.test_reminders</t>
        </is>
      </c>
      <c r="D1111" s="3" t="inlineStr">
        <is>
          <t>TestEscalationReminders</t>
        </is>
      </c>
      <c r="E1111" s="3" t="inlineStr">
        <is>
          <t>test_an_action_plan_past_its_end_date_reaches_owner_and_executive</t>
        </is>
      </c>
      <c r="F1111" s="3" t="inlineStr">
        <is>
          <t>whole class</t>
        </is>
      </c>
      <c r="G1111" s="2" t="n">
        <v>6</v>
      </c>
      <c r="H1111" s="2" t="n">
        <v>6</v>
      </c>
      <c r="I1111" s="3" t="inlineStr">
        <is>
          <t>consilium/consilium_core/tests/test_reminders.py</t>
        </is>
      </c>
    </row>
    <row r="1112" ht="30" customHeight="1">
      <c r="A1112" s="2" t="inlineStr">
        <is>
          <t>E-9</t>
        </is>
      </c>
      <c r="B1112" s="3" t="inlineStr">
        <is>
          <t>ESC</t>
        </is>
      </c>
      <c r="C1112" s="3" t="inlineStr">
        <is>
          <t>consilium_core.tests.test_reminders</t>
        </is>
      </c>
      <c r="D1112" s="3" t="inlineStr">
        <is>
          <t>TestEscalationReminders</t>
        </is>
      </c>
      <c r="E1112" s="3" t="inlineStr">
        <is>
          <t>test_a_quarter_opening_creates_its_return_once_and_tells_its_owner</t>
        </is>
      </c>
      <c r="F1112" s="3" t="inlineStr">
        <is>
          <t>whole class</t>
        </is>
      </c>
      <c r="G1112" s="2" t="n">
        <v>6</v>
      </c>
      <c r="H1112" s="2" t="n">
        <v>6</v>
      </c>
      <c r="I1112" s="3" t="inlineStr">
        <is>
          <t>consilium/consilium_core/tests/test_reminders.py</t>
        </is>
      </c>
    </row>
    <row r="1113" ht="17" customHeight="1">
      <c r="A1113" s="2" t="inlineStr">
        <is>
          <t>E-9</t>
        </is>
      </c>
      <c r="B1113" s="3" t="inlineStr">
        <is>
          <t>ESC</t>
        </is>
      </c>
      <c r="C1113" s="3" t="inlineStr">
        <is>
          <t>consilium_core.tests.test_reminders</t>
        </is>
      </c>
      <c r="D1113" s="3" t="inlineStr">
        <is>
          <t>TestEscalationReminders</t>
        </is>
      </c>
      <c r="E1113" s="3" t="inlineStr">
        <is>
          <t>test_quarter_boundaries</t>
        </is>
      </c>
      <c r="F1113" s="3" t="inlineStr">
        <is>
          <t>whole class</t>
        </is>
      </c>
      <c r="G1113" s="2" t="n">
        <v>6</v>
      </c>
      <c r="H1113" s="2" t="n">
        <v>6</v>
      </c>
      <c r="I1113" s="3" t="inlineStr">
        <is>
          <t>consilium/consilium_core/tests/test_reminders.py</t>
        </is>
      </c>
    </row>
    <row r="1114" ht="17" customHeight="1">
      <c r="A1114" s="2" t="inlineStr">
        <is>
          <t>E-9</t>
        </is>
      </c>
      <c r="B1114" s="3" t="inlineStr">
        <is>
          <t>ESC</t>
        </is>
      </c>
      <c r="C1114" s="3" t="inlineStr">
        <is>
          <t>consilium_core.tests.test_services</t>
        </is>
      </c>
      <c r="D1114" s="3" t="inlineStr">
        <is>
          <t>TestApprovals</t>
        </is>
      </c>
      <c r="E1114" s="3" t="inlineStr">
        <is>
          <t>test_a_delegate_decides_under_a_recorded_delegation</t>
        </is>
      </c>
      <c r="F1114" s="3" t="inlineStr">
        <is>
          <t>named method</t>
        </is>
      </c>
      <c r="G1114" s="2" t="n"/>
      <c r="H1114" s="2" t="n">
        <v>1</v>
      </c>
      <c r="I1114" s="3" t="inlineStr">
        <is>
          <t>consilium/consilium_core/tests/test_services.py</t>
        </is>
      </c>
    </row>
    <row r="1115" ht="17" customHeight="1">
      <c r="A1115" s="2" t="inlineStr">
        <is>
          <t>E-10</t>
        </is>
      </c>
      <c r="B1115" s="3" t="inlineStr">
        <is>
          <t>ESC</t>
        </is>
      </c>
      <c r="C1115" s="3" t="inlineStr">
        <is>
          <t>escalation.tests.test_resolution</t>
        </is>
      </c>
      <c r="D1115" s="3" t="inlineStr">
        <is>
          <t>TestStatesAndClosure</t>
        </is>
      </c>
      <c r="E1115" s="3" t="inlineStr">
        <is>
          <t>test_a_matter_moves_through_its_states</t>
        </is>
      </c>
      <c r="F1115" s="3" t="inlineStr">
        <is>
          <t>whole class</t>
        </is>
      </c>
      <c r="G1115" s="2" t="n">
        <v>7</v>
      </c>
      <c r="H1115" s="2" t="n">
        <v>7</v>
      </c>
      <c r="I1115" s="3" t="inlineStr">
        <is>
          <t>consilium/escalation/tests/test_resolution.py</t>
        </is>
      </c>
    </row>
    <row r="1116" ht="17" customHeight="1">
      <c r="A1116" s="2" t="inlineStr">
        <is>
          <t>E-10</t>
        </is>
      </c>
      <c r="B1116" s="3" t="inlineStr">
        <is>
          <t>ESC</t>
        </is>
      </c>
      <c r="C1116" s="3" t="inlineStr">
        <is>
          <t>escalation.tests.test_resolution</t>
        </is>
      </c>
      <c r="D1116" s="3" t="inlineStr">
        <is>
          <t>TestStatesAndClosure</t>
        </is>
      </c>
      <c r="E1116" s="3" t="inlineStr">
        <is>
          <t>test_closing_without_a_recorded_outcome_is_refused</t>
        </is>
      </c>
      <c r="F1116" s="3" t="inlineStr">
        <is>
          <t>whole class</t>
        </is>
      </c>
      <c r="G1116" s="2" t="n">
        <v>7</v>
      </c>
      <c r="H1116" s="2" t="n">
        <v>7</v>
      </c>
      <c r="I1116" s="3" t="inlineStr">
        <is>
          <t>consilium/escalation/tests/test_resolution.py</t>
        </is>
      </c>
    </row>
    <row r="1117" ht="17" customHeight="1">
      <c r="A1117" s="2" t="inlineStr">
        <is>
          <t>E-10</t>
        </is>
      </c>
      <c r="B1117" s="3" t="inlineStr">
        <is>
          <t>ESC</t>
        </is>
      </c>
      <c r="C1117" s="3" t="inlineStr">
        <is>
          <t>escalation.tests.test_resolution</t>
        </is>
      </c>
      <c r="D1117" s="3" t="inlineStr">
        <is>
          <t>TestStatesAndClosure</t>
        </is>
      </c>
      <c r="E1117" s="3" t="inlineStr">
        <is>
          <t>test_closing_without_the_response_template_is_refused</t>
        </is>
      </c>
      <c r="F1117" s="3" t="inlineStr">
        <is>
          <t>whole class</t>
        </is>
      </c>
      <c r="G1117" s="2" t="n">
        <v>7</v>
      </c>
      <c r="H1117" s="2" t="n">
        <v>7</v>
      </c>
      <c r="I1117" s="3" t="inlineStr">
        <is>
          <t>consilium/escalation/tests/test_resolution.py</t>
        </is>
      </c>
    </row>
    <row r="1118" ht="30" customHeight="1">
      <c r="A1118" s="2" t="inlineStr">
        <is>
          <t>E-10</t>
        </is>
      </c>
      <c r="B1118" s="3" t="inlineStr">
        <is>
          <t>ESC</t>
        </is>
      </c>
      <c r="C1118" s="3" t="inlineStr">
        <is>
          <t>escalation.tests.test_resolution</t>
        </is>
      </c>
      <c r="D1118" s="3" t="inlineStr">
        <is>
          <t>TestStatesAndClosure</t>
        </is>
      </c>
      <c r="E1118" s="3" t="inlineStr">
        <is>
          <t>test_an_externally_tracked_closure_needs_its_external_reference</t>
        </is>
      </c>
      <c r="F1118" s="3" t="inlineStr">
        <is>
          <t>whole class</t>
        </is>
      </c>
      <c r="G1118" s="2" t="n">
        <v>7</v>
      </c>
      <c r="H1118" s="2" t="n">
        <v>7</v>
      </c>
      <c r="I1118" s="3" t="inlineStr">
        <is>
          <t>consilium/escalation/tests/test_resolution.py</t>
        </is>
      </c>
    </row>
    <row r="1119" ht="30" customHeight="1">
      <c r="A1119" s="2" t="inlineStr">
        <is>
          <t>E-10</t>
        </is>
      </c>
      <c r="B1119" s="3" t="inlineStr">
        <is>
          <t>ESC</t>
        </is>
      </c>
      <c r="C1119" s="3" t="inlineStr">
        <is>
          <t>escalation.tests.test_resolution</t>
        </is>
      </c>
      <c r="D1119" s="3" t="inlineStr">
        <is>
          <t>TestStatesAndClosure</t>
        </is>
      </c>
      <c r="E1119" s="3" t="inlineStr">
        <is>
          <t>test_a_closure_with_an_unmet_required_criterion_is_refused</t>
        </is>
      </c>
      <c r="F1119" s="3" t="inlineStr">
        <is>
          <t>whole class</t>
        </is>
      </c>
      <c r="G1119" s="2" t="n">
        <v>7</v>
      </c>
      <c r="H1119" s="2" t="n">
        <v>7</v>
      </c>
      <c r="I1119" s="3" t="inlineStr">
        <is>
          <t>consilium/escalation/tests/test_resolution.py</t>
        </is>
      </c>
    </row>
    <row r="1120" ht="30" customHeight="1">
      <c r="A1120" s="2" t="inlineStr">
        <is>
          <t>E-10</t>
        </is>
      </c>
      <c r="B1120" s="3" t="inlineStr">
        <is>
          <t>ESC</t>
        </is>
      </c>
      <c r="C1120" s="3" t="inlineStr">
        <is>
          <t>escalation.tests.test_resolution</t>
        </is>
      </c>
      <c r="D1120" s="3" t="inlineStr">
        <is>
          <t>TestStatesAndClosure</t>
        </is>
      </c>
      <c r="E1120" s="3" t="inlineStr">
        <is>
          <t>test_a_closure_transferring_tracking_needs_the_external_reference</t>
        </is>
      </c>
      <c r="F1120" s="3" t="inlineStr">
        <is>
          <t>whole class</t>
        </is>
      </c>
      <c r="G1120" s="2" t="n">
        <v>7</v>
      </c>
      <c r="H1120" s="2" t="n">
        <v>7</v>
      </c>
      <c r="I1120" s="3" t="inlineStr">
        <is>
          <t>consilium/escalation/tests/test_resolution.py</t>
        </is>
      </c>
    </row>
    <row r="1121" ht="17" customHeight="1">
      <c r="A1121" s="2" t="inlineStr">
        <is>
          <t>E-10</t>
        </is>
      </c>
      <c r="B1121" s="3" t="inlineStr">
        <is>
          <t>ESC</t>
        </is>
      </c>
      <c r="C1121" s="3" t="inlineStr">
        <is>
          <t>escalation.tests.test_resolution</t>
        </is>
      </c>
      <c r="D1121" s="3" t="inlineStr">
        <is>
          <t>TestStatesAndClosure</t>
        </is>
      </c>
      <c r="E1121" s="3" t="inlineStr">
        <is>
          <t>test_one_closure_per_matter</t>
        </is>
      </c>
      <c r="F1121" s="3" t="inlineStr">
        <is>
          <t>whole class</t>
        </is>
      </c>
      <c r="G1121" s="2" t="n">
        <v>7</v>
      </c>
      <c r="H1121" s="2" t="n">
        <v>7</v>
      </c>
      <c r="I1121" s="3" t="inlineStr">
        <is>
          <t>consilium/escalation/tests/test_resolution.py</t>
        </is>
      </c>
    </row>
    <row r="1122" ht="17" customHeight="1">
      <c r="A1122" s="2" t="inlineStr">
        <is>
          <t>E-10</t>
        </is>
      </c>
      <c r="B1122" s="3" t="inlineStr">
        <is>
          <t>ESC</t>
        </is>
      </c>
      <c r="C1122" s="3" t="inlineStr">
        <is>
          <t>escalation.tests.test_portal_actions</t>
        </is>
      </c>
      <c r="D1122" s="3" t="inlineStr">
        <is>
          <t>TestClosure</t>
        </is>
      </c>
      <c r="E1122" s="3" t="inlineStr">
        <is>
          <t>test_the_owner_records_the_closure_and_closes</t>
        </is>
      </c>
      <c r="F1122" s="3" t="inlineStr">
        <is>
          <t>whole class</t>
        </is>
      </c>
      <c r="G1122" s="2" t="n">
        <v>5</v>
      </c>
      <c r="H1122" s="2" t="n">
        <v>5</v>
      </c>
      <c r="I1122" s="3" t="inlineStr">
        <is>
          <t>consilium/escalation/tests/test_portal_actions.py</t>
        </is>
      </c>
    </row>
    <row r="1123" ht="17" customHeight="1">
      <c r="A1123" s="2" t="inlineStr">
        <is>
          <t>E-10</t>
        </is>
      </c>
      <c r="B1123" s="3" t="inlineStr">
        <is>
          <t>ESC</t>
        </is>
      </c>
      <c r="C1123" s="3" t="inlineStr">
        <is>
          <t>escalation.tests.test_portal_actions</t>
        </is>
      </c>
      <c r="D1123" s="3" t="inlineStr">
        <is>
          <t>TestClosure</t>
        </is>
      </c>
      <c r="E1123" s="3" t="inlineStr">
        <is>
          <t>test_close_is_offered_only_once_a_closure_is_recorded</t>
        </is>
      </c>
      <c r="F1123" s="3" t="inlineStr">
        <is>
          <t>whole class</t>
        </is>
      </c>
      <c r="G1123" s="2" t="n">
        <v>5</v>
      </c>
      <c r="H1123" s="2" t="n">
        <v>5</v>
      </c>
      <c r="I1123" s="3" t="inlineStr">
        <is>
          <t>consilium/escalation/tests/test_portal_actions.py</t>
        </is>
      </c>
    </row>
    <row r="1124" ht="17" customHeight="1">
      <c r="A1124" s="2" t="inlineStr">
        <is>
          <t>E-10</t>
        </is>
      </c>
      <c r="B1124" s="3" t="inlineStr">
        <is>
          <t>ESC</t>
        </is>
      </c>
      <c r="C1124" s="3" t="inlineStr">
        <is>
          <t>escalation.tests.test_portal_actions</t>
        </is>
      </c>
      <c r="D1124" s="3" t="inlineStr">
        <is>
          <t>TestClosure</t>
        </is>
      </c>
      <c r="E1124" s="3" t="inlineStr">
        <is>
          <t>test_a_closure_is_revised_not_duplicated</t>
        </is>
      </c>
      <c r="F1124" s="3" t="inlineStr">
        <is>
          <t>whole class</t>
        </is>
      </c>
      <c r="G1124" s="2" t="n">
        <v>5</v>
      </c>
      <c r="H1124" s="2" t="n">
        <v>5</v>
      </c>
      <c r="I1124" s="3" t="inlineStr">
        <is>
          <t>consilium/escalation/tests/test_portal_actions.py</t>
        </is>
      </c>
    </row>
    <row r="1125" ht="30" customHeight="1">
      <c r="A1125" s="2" t="inlineStr">
        <is>
          <t>E-10</t>
        </is>
      </c>
      <c r="B1125" s="3" t="inlineStr">
        <is>
          <t>ESC</t>
        </is>
      </c>
      <c r="C1125" s="3" t="inlineStr">
        <is>
          <t>escalation.tests.test_portal_actions</t>
        </is>
      </c>
      <c r="D1125" s="3" t="inlineStr">
        <is>
          <t>TestClosure</t>
        </is>
      </c>
      <c r="E1125" s="3" t="inlineStr">
        <is>
          <t>test_closing_as_tracked_elsewhere_takes_the_closures_reference</t>
        </is>
      </c>
      <c r="F1125" s="3" t="inlineStr">
        <is>
          <t>whole class</t>
        </is>
      </c>
      <c r="G1125" s="2" t="n">
        <v>5</v>
      </c>
      <c r="H1125" s="2" t="n">
        <v>5</v>
      </c>
      <c r="I1125" s="3" t="inlineStr">
        <is>
          <t>consilium/escalation/tests/test_portal_actions.py</t>
        </is>
      </c>
    </row>
    <row r="1126" ht="17" customHeight="1">
      <c r="A1126" s="2" t="inlineStr">
        <is>
          <t>E-10</t>
        </is>
      </c>
      <c r="B1126" s="3" t="inlineStr">
        <is>
          <t>ESC</t>
        </is>
      </c>
      <c r="C1126" s="3" t="inlineStr">
        <is>
          <t>escalation.tests.test_portal_actions</t>
        </is>
      </c>
      <c r="D1126" s="3" t="inlineStr">
        <is>
          <t>TestClosure</t>
        </is>
      </c>
      <c r="E1126" s="3" t="inlineStr">
        <is>
          <t>test_a_matter_under_review_cannot_be_closed</t>
        </is>
      </c>
      <c r="F1126" s="3" t="inlineStr">
        <is>
          <t>whole class</t>
        </is>
      </c>
      <c r="G1126" s="2" t="n">
        <v>5</v>
      </c>
      <c r="H1126" s="2" t="n">
        <v>5</v>
      </c>
      <c r="I1126" s="3" t="inlineStr">
        <is>
          <t>consilium/escalation/tests/test_portal_actions.py</t>
        </is>
      </c>
    </row>
    <row r="1127" ht="17" customHeight="1">
      <c r="A1127" s="2" t="inlineStr">
        <is>
          <t>E-11</t>
        </is>
      </c>
      <c r="B1127" s="3" t="inlineStr">
        <is>
          <t>ESC</t>
        </is>
      </c>
      <c r="C1127" s="3" t="inlineStr">
        <is>
          <t>escalation.tests.test_entities</t>
        </is>
      </c>
      <c r="D1127" s="3" t="inlineStr">
        <is>
          <t>TestPeriodicSubmission</t>
        </is>
      </c>
      <c r="E1127" s="3" t="inlineStr">
        <is>
          <t>test_a_period_with_no_matters_must_be_a_nil_return</t>
        </is>
      </c>
      <c r="F1127" s="3" t="inlineStr">
        <is>
          <t>named method</t>
        </is>
      </c>
      <c r="G1127" s="2" t="n"/>
      <c r="H1127" s="2" t="n">
        <v>1</v>
      </c>
      <c r="I1127" s="3" t="inlineStr">
        <is>
          <t>consilium/escalation/tests/test_entities.py</t>
        </is>
      </c>
    </row>
    <row r="1128" ht="30" customHeight="1">
      <c r="A1128" s="2" t="inlineStr">
        <is>
          <t>E-11</t>
        </is>
      </c>
      <c r="B1128" s="3" t="inlineStr">
        <is>
          <t>ESC</t>
        </is>
      </c>
      <c r="C1128" s="3" t="inlineStr">
        <is>
          <t>consilium_core.tests.test_reminders</t>
        </is>
      </c>
      <c r="D1128" s="3" t="inlineStr">
        <is>
          <t>TestEscalationReminders</t>
        </is>
      </c>
      <c r="E1128" s="3" t="inlineStr">
        <is>
          <t>test_a_quarter_opening_creates_its_return_once_and_tells_its_owner</t>
        </is>
      </c>
      <c r="F1128" s="3" t="inlineStr">
        <is>
          <t>named method</t>
        </is>
      </c>
      <c r="G1128" s="2" t="n"/>
      <c r="H1128" s="2" t="n">
        <v>1</v>
      </c>
      <c r="I1128" s="3" t="inlineStr">
        <is>
          <t>consilium/consilium_core/tests/test_reminders.py</t>
        </is>
      </c>
    </row>
    <row r="1129" ht="17" customHeight="1">
      <c r="A1129" s="2" t="inlineStr">
        <is>
          <t>E-11</t>
        </is>
      </c>
      <c r="B1129" s="3" t="inlineStr">
        <is>
          <t>ESC</t>
        </is>
      </c>
      <c r="C1129" s="3" t="inlineStr">
        <is>
          <t>consilium_core.tests.test_reminders</t>
        </is>
      </c>
      <c r="D1129" s="3" t="inlineStr">
        <is>
          <t>TestEscalationReminders</t>
        </is>
      </c>
      <c r="E1129" s="3" t="inlineStr">
        <is>
          <t>test_quarter_boundaries</t>
        </is>
      </c>
      <c r="F1129" s="3" t="inlineStr">
        <is>
          <t>named method</t>
        </is>
      </c>
      <c r="G1129" s="2" t="n"/>
      <c r="H1129" s="2" t="n">
        <v>1</v>
      </c>
      <c r="I1129" s="3" t="inlineStr">
        <is>
          <t>consilium/consilium_core/tests/test_reminders.py</t>
        </is>
      </c>
    </row>
    <row r="1130" ht="17" customHeight="1">
      <c r="A1130" s="2" t="inlineStr">
        <is>
          <t>E-11</t>
        </is>
      </c>
      <c r="B1130" s="3" t="inlineStr">
        <is>
          <t>ESC</t>
        </is>
      </c>
      <c r="C1130" s="3" t="inlineStr">
        <is>
          <t>escalation.tests.test_analysis</t>
        </is>
      </c>
      <c r="D1130" s="3" t="inlineStr">
        <is>
          <t>TestAnalysis</t>
        </is>
      </c>
      <c r="E1130" s="3" t="inlineStr">
        <is>
          <t>test_the_summary_is_exportable_as_csv</t>
        </is>
      </c>
      <c r="F1130" s="3" t="inlineStr">
        <is>
          <t>named method</t>
        </is>
      </c>
      <c r="G1130" s="2" t="n"/>
      <c r="H1130" s="2" t="n">
        <v>1</v>
      </c>
      <c r="I1130" s="3" t="inlineStr">
        <is>
          <t>consilium/escalation/tests/test_analysis.py</t>
        </is>
      </c>
    </row>
    <row r="1131" ht="17" customHeight="1">
      <c r="A1131" s="2" t="inlineStr">
        <is>
          <t>E-12</t>
        </is>
      </c>
      <c r="B1131" s="3" t="inlineStr">
        <is>
          <t>ESC</t>
        </is>
      </c>
      <c r="C1131" s="3" t="inlineStr">
        <is>
          <t>consilium_core.tests.test_revision</t>
        </is>
      </c>
      <c r="D1131" s="3" t="inlineStr">
        <is>
          <t>TestMatterRevision</t>
        </is>
      </c>
      <c r="E1131" s="3" t="inlineStr">
        <is>
          <t>test_creation_and_each_real_change_write_a_version</t>
        </is>
      </c>
      <c r="F1131" s="3" t="inlineStr">
        <is>
          <t>whole class</t>
        </is>
      </c>
      <c r="G1131" s="2" t="n">
        <v>13</v>
      </c>
      <c r="H1131" s="2" t="n">
        <v>13</v>
      </c>
      <c r="I1131" s="3" t="inlineStr">
        <is>
          <t>consilium/consilium_core/tests/test_revision.py</t>
        </is>
      </c>
    </row>
    <row r="1132" ht="17" customHeight="1">
      <c r="A1132" s="2" t="inlineStr">
        <is>
          <t>E-12</t>
        </is>
      </c>
      <c r="B1132" s="3" t="inlineStr">
        <is>
          <t>ESC</t>
        </is>
      </c>
      <c r="C1132" s="3" t="inlineStr">
        <is>
          <t>consilium_core.tests.test_revision</t>
        </is>
      </c>
      <c r="D1132" s="3" t="inlineStr">
        <is>
          <t>TestMatterRevision</t>
        </is>
      </c>
      <c r="E1132" s="3" t="inlineStr">
        <is>
          <t>test_a_save_that_changes_nothing_writes_nothing</t>
        </is>
      </c>
      <c r="F1132" s="3" t="inlineStr">
        <is>
          <t>whole class</t>
        </is>
      </c>
      <c r="G1132" s="2" t="n">
        <v>13</v>
      </c>
      <c r="H1132" s="2" t="n">
        <v>13</v>
      </c>
      <c r="I1132" s="3" t="inlineStr">
        <is>
          <t>consilium/consilium_core/tests/test_revision.py</t>
        </is>
      </c>
    </row>
    <row r="1133" ht="30" customHeight="1">
      <c r="A1133" s="2" t="inlineStr">
        <is>
          <t>E-12</t>
        </is>
      </c>
      <c r="B1133" s="3" t="inlineStr">
        <is>
          <t>ESC</t>
        </is>
      </c>
      <c r="C1133" s="3" t="inlineStr">
        <is>
          <t>consilium_core.tests.test_revision</t>
        </is>
      </c>
      <c r="D1133" s="3" t="inlineStr">
        <is>
          <t>TestMatterRevision</t>
        </is>
      </c>
      <c r="E1133" s="3" t="inlineStr">
        <is>
          <t>test_a_record_from_before_tracking_keeps_its_prior_state_as_a_baseline</t>
        </is>
      </c>
      <c r="F1133" s="3" t="inlineStr">
        <is>
          <t>whole class</t>
        </is>
      </c>
      <c r="G1133" s="2" t="n">
        <v>13</v>
      </c>
      <c r="H1133" s="2" t="n">
        <v>13</v>
      </c>
      <c r="I1133" s="3" t="inlineStr">
        <is>
          <t>consilium/consilium_core/tests/test_revision.py</t>
        </is>
      </c>
    </row>
    <row r="1134" ht="17" customHeight="1">
      <c r="A1134" s="2" t="inlineStr">
        <is>
          <t>E-12</t>
        </is>
      </c>
      <c r="B1134" s="3" t="inlineStr">
        <is>
          <t>ESC</t>
        </is>
      </c>
      <c r="C1134" s="3" t="inlineStr">
        <is>
          <t>consilium_core.tests.test_revision</t>
        </is>
      </c>
      <c r="D1134" s="3" t="inlineStr">
        <is>
          <t>TestMatterRevision</t>
        </is>
      </c>
      <c r="E1134" s="3" t="inlineStr">
        <is>
          <t>test_revert_restores_content_but_not_state_or_handling</t>
        </is>
      </c>
      <c r="F1134" s="3" t="inlineStr">
        <is>
          <t>whole class</t>
        </is>
      </c>
      <c r="G1134" s="2" t="n">
        <v>13</v>
      </c>
      <c r="H1134" s="2" t="n">
        <v>13</v>
      </c>
      <c r="I1134" s="3" t="inlineStr">
        <is>
          <t>consilium/consilium_core/tests/test_revision.py</t>
        </is>
      </c>
    </row>
    <row r="1135" ht="17" customHeight="1">
      <c r="A1135" s="2" t="inlineStr">
        <is>
          <t>E-12</t>
        </is>
      </c>
      <c r="B1135" s="3" t="inlineStr">
        <is>
          <t>ESC</t>
        </is>
      </c>
      <c r="C1135" s="3" t="inlineStr">
        <is>
          <t>consilium_core.tests.test_revision</t>
        </is>
      </c>
      <c r="D1135" s="3" t="inlineStr">
        <is>
          <t>TestMatterRevision</t>
        </is>
      </c>
      <c r="E1135" s="3" t="inlineStr">
        <is>
          <t>test_the_head_after_a_revert_is_what_the_record_holds</t>
        </is>
      </c>
      <c r="F1135" s="3" t="inlineStr">
        <is>
          <t>whole class</t>
        </is>
      </c>
      <c r="G1135" s="2" t="n">
        <v>13</v>
      </c>
      <c r="H1135" s="2" t="n">
        <v>13</v>
      </c>
      <c r="I1135" s="3" t="inlineStr">
        <is>
          <t>consilium/consilium_core/tests/test_revision.py</t>
        </is>
      </c>
    </row>
    <row r="1136" ht="17" customHeight="1">
      <c r="A1136" s="2" t="inlineStr">
        <is>
          <t>E-12</t>
        </is>
      </c>
      <c r="B1136" s="3" t="inlineStr">
        <is>
          <t>ESC</t>
        </is>
      </c>
      <c r="C1136" s="3" t="inlineStr">
        <is>
          <t>consilium_core.tests.test_revision</t>
        </is>
      </c>
      <c r="D1136" s="3" t="inlineStr">
        <is>
          <t>TestMatterRevision</t>
        </is>
      </c>
      <c r="E1136" s="3" t="inlineStr">
        <is>
          <t>test_revert_keeps_the_handling_restriction</t>
        </is>
      </c>
      <c r="F1136" s="3" t="inlineStr">
        <is>
          <t>whole class</t>
        </is>
      </c>
      <c r="G1136" s="2" t="n">
        <v>13</v>
      </c>
      <c r="H1136" s="2" t="n">
        <v>13</v>
      </c>
      <c r="I1136" s="3" t="inlineStr">
        <is>
          <t>consilium/consilium_core/tests/test_revision.py</t>
        </is>
      </c>
    </row>
    <row r="1137" ht="17" customHeight="1">
      <c r="A1137" s="2" t="inlineStr">
        <is>
          <t>E-12</t>
        </is>
      </c>
      <c r="B1137" s="3" t="inlineStr">
        <is>
          <t>ESC</t>
        </is>
      </c>
      <c r="C1137" s="3" t="inlineStr">
        <is>
          <t>consilium_core.tests.test_revision</t>
        </is>
      </c>
      <c r="D1137" s="3" t="inlineStr">
        <is>
          <t>TestMatterRevision</t>
        </is>
      </c>
      <c r="E1137" s="3" t="inlineStr">
        <is>
          <t>test_a_revert_without_a_reason_is_refused_and_audited</t>
        </is>
      </c>
      <c r="F1137" s="3" t="inlineStr">
        <is>
          <t>whole class</t>
        </is>
      </c>
      <c r="G1137" s="2" t="n">
        <v>13</v>
      </c>
      <c r="H1137" s="2" t="n">
        <v>13</v>
      </c>
      <c r="I1137" s="3" t="inlineStr">
        <is>
          <t>consilium/consilium_core/tests/test_revision.py</t>
        </is>
      </c>
    </row>
    <row r="1138" ht="30" customHeight="1">
      <c r="A1138" s="2" t="inlineStr">
        <is>
          <t>E-12</t>
        </is>
      </c>
      <c r="B1138" s="3" t="inlineStr">
        <is>
          <t>ESC</t>
        </is>
      </c>
      <c r="C1138" s="3" t="inlineStr">
        <is>
          <t>consilium_core.tests.test_revision</t>
        </is>
      </c>
      <c r="D1138" s="3" t="inlineStr">
        <is>
          <t>TestMatterRevision</t>
        </is>
      </c>
      <c r="E1138" s="3" t="inlineStr">
        <is>
          <t>test_a_revert_by_someone_without_the_role_is_refused_and_audited</t>
        </is>
      </c>
      <c r="F1138" s="3" t="inlineStr">
        <is>
          <t>whole class</t>
        </is>
      </c>
      <c r="G1138" s="2" t="n">
        <v>13</v>
      </c>
      <c r="H1138" s="2" t="n">
        <v>13</v>
      </c>
      <c r="I1138" s="3" t="inlineStr">
        <is>
          <t>consilium/consilium_core/tests/test_revision.py</t>
        </is>
      </c>
    </row>
    <row r="1139" ht="17" customHeight="1">
      <c r="A1139" s="2" t="inlineStr">
        <is>
          <t>E-12</t>
        </is>
      </c>
      <c r="B1139" s="3" t="inlineStr">
        <is>
          <t>ESC</t>
        </is>
      </c>
      <c r="C1139" s="3" t="inlineStr">
        <is>
          <t>consilium_core.tests.test_revision</t>
        </is>
      </c>
      <c r="D1139" s="3" t="inlineStr">
        <is>
          <t>TestMatterRevision</t>
        </is>
      </c>
      <c r="E1139" s="3" t="inlineStr">
        <is>
          <t>test_a_closed_matter_cannot_be_reverted</t>
        </is>
      </c>
      <c r="F1139" s="3" t="inlineStr">
        <is>
          <t>whole class</t>
        </is>
      </c>
      <c r="G1139" s="2" t="n">
        <v>13</v>
      </c>
      <c r="H1139" s="2" t="n">
        <v>13</v>
      </c>
      <c r="I1139" s="3" t="inlineStr">
        <is>
          <t>consilium/consilium_core/tests/test_revision.py</t>
        </is>
      </c>
    </row>
    <row r="1140" ht="30" customHeight="1">
      <c r="A1140" s="2" t="inlineStr">
        <is>
          <t>E-12</t>
        </is>
      </c>
      <c r="B1140" s="3" t="inlineStr">
        <is>
          <t>ESC</t>
        </is>
      </c>
      <c r="C1140" s="3" t="inlineStr">
        <is>
          <t>consilium_core.tests.test_revision</t>
        </is>
      </c>
      <c r="D1140" s="3" t="inlineStr">
        <is>
          <t>TestMatterRevision</t>
        </is>
      </c>
      <c r="E1140" s="3" t="inlineStr">
        <is>
          <t>test_a_version_from_the_other_side_of_closure_cannot_be_restored</t>
        </is>
      </c>
      <c r="F1140" s="3" t="inlineStr">
        <is>
          <t>whole class</t>
        </is>
      </c>
      <c r="G1140" s="2" t="n">
        <v>13</v>
      </c>
      <c r="H1140" s="2" t="n">
        <v>13</v>
      </c>
      <c r="I1140" s="3" t="inlineStr">
        <is>
          <t>consilium/consilium_core/tests/test_revision.py</t>
        </is>
      </c>
    </row>
    <row r="1141" ht="17" customHeight="1">
      <c r="A1141" s="2" t="inlineStr">
        <is>
          <t>E-12</t>
        </is>
      </c>
      <c r="B1141" s="3" t="inlineStr">
        <is>
          <t>ESC</t>
        </is>
      </c>
      <c r="C1141" s="3" t="inlineStr">
        <is>
          <t>consilium_core.tests.test_revision</t>
        </is>
      </c>
      <c r="D1141" s="3" t="inlineStr">
        <is>
          <t>TestMatterRevision</t>
        </is>
      </c>
      <c r="E1141" s="3" t="inlineStr">
        <is>
          <t>test_a_version_of_another_record_is_refused</t>
        </is>
      </c>
      <c r="F1141" s="3" t="inlineStr">
        <is>
          <t>whole class</t>
        </is>
      </c>
      <c r="G1141" s="2" t="n">
        <v>13</v>
      </c>
      <c r="H1141" s="2" t="n">
        <v>13</v>
      </c>
      <c r="I1141" s="3" t="inlineStr">
        <is>
          <t>consilium/consilium_core/tests/test_revision.py</t>
        </is>
      </c>
    </row>
    <row r="1142" ht="30" customHeight="1">
      <c r="A1142" s="2" t="inlineStr">
        <is>
          <t>E-12</t>
        </is>
      </c>
      <c r="B1142" s="3" t="inlineStr">
        <is>
          <t>ESC</t>
        </is>
      </c>
      <c r="C1142" s="3" t="inlineStr">
        <is>
          <t>consilium_core.tests.test_revision</t>
        </is>
      </c>
      <c r="D1142" s="3" t="inlineStr">
        <is>
          <t>TestMatterRevision</t>
        </is>
      </c>
      <c r="E1142" s="3" t="inlineStr">
        <is>
          <t>test_a_sensitive_matters_history_is_invisible_without_access</t>
        </is>
      </c>
      <c r="F1142" s="3" t="inlineStr">
        <is>
          <t>whole class</t>
        </is>
      </c>
      <c r="G1142" s="2" t="n">
        <v>13</v>
      </c>
      <c r="H1142" s="2" t="n">
        <v>13</v>
      </c>
      <c r="I1142" s="3" t="inlineStr">
        <is>
          <t>consilium/consilium_core/tests/test_revision.py</t>
        </is>
      </c>
    </row>
    <row r="1143" ht="17" customHeight="1">
      <c r="A1143" s="2" t="inlineStr">
        <is>
          <t>E-12</t>
        </is>
      </c>
      <c r="B1143" s="3" t="inlineStr">
        <is>
          <t>ESC</t>
        </is>
      </c>
      <c r="C1143" s="3" t="inlineStr">
        <is>
          <t>consilium_core.tests.test_revision</t>
        </is>
      </c>
      <c r="D1143" s="3" t="inlineStr">
        <is>
          <t>TestMatterRevision</t>
        </is>
      </c>
      <c r="E1143" s="3" t="inlineStr">
        <is>
          <t>test_history_says_which_versions_may_be_reverted</t>
        </is>
      </c>
      <c r="F1143" s="3" t="inlineStr">
        <is>
          <t>whole class</t>
        </is>
      </c>
      <c r="G1143" s="2" t="n">
        <v>13</v>
      </c>
      <c r="H1143" s="2" t="n">
        <v>13</v>
      </c>
      <c r="I1143" s="3" t="inlineStr">
        <is>
          <t>consilium/consilium_core/tests/test_revision.py</t>
        </is>
      </c>
    </row>
    <row r="1144" ht="30" customHeight="1">
      <c r="A1144" s="2" t="inlineStr">
        <is>
          <t>E-12</t>
        </is>
      </c>
      <c r="B1144" s="3" t="inlineStr">
        <is>
          <t>ESC</t>
        </is>
      </c>
      <c r="C1144" s="3" t="inlineStr">
        <is>
          <t>consilium_core.tests.test_core_controls_wave3</t>
        </is>
      </c>
      <c r="D1144" s="3" t="inlineStr">
        <is>
          <t>TestHistoryAndEvidencePack</t>
        </is>
      </c>
      <c r="E1144" s="3" t="inlineStr">
        <is>
          <t>test_the_history_lists_changes_comments_and_notifications_in_one_list</t>
        </is>
      </c>
      <c r="F1144" s="3" t="inlineStr">
        <is>
          <t>whole class</t>
        </is>
      </c>
      <c r="G1144" s="2" t="n">
        <v>4</v>
      </c>
      <c r="H1144" s="2" t="n">
        <v>4</v>
      </c>
      <c r="I1144" s="3" t="inlineStr">
        <is>
          <t>consilium/consilium_core/tests/test_core_controls_wave3.py</t>
        </is>
      </c>
    </row>
    <row r="1145" ht="30" customHeight="1">
      <c r="A1145" s="2" t="inlineStr">
        <is>
          <t>E-12</t>
        </is>
      </c>
      <c r="B1145" s="3" t="inlineStr">
        <is>
          <t>ESC</t>
        </is>
      </c>
      <c r="C1145" s="3" t="inlineStr">
        <is>
          <t>consilium_core.tests.test_core_controls_wave3</t>
        </is>
      </c>
      <c r="D1145" s="3" t="inlineStr">
        <is>
          <t>TestHistoryAndEvidencePack</t>
        </is>
      </c>
      <c r="E1145" s="3" t="inlineStr">
        <is>
          <t>test_the_history_is_refused_to_someone_who_cannot_read_the_record</t>
        </is>
      </c>
      <c r="F1145" s="3" t="inlineStr">
        <is>
          <t>whole class</t>
        </is>
      </c>
      <c r="G1145" s="2" t="n">
        <v>4</v>
      </c>
      <c r="H1145" s="2" t="n">
        <v>4</v>
      </c>
      <c r="I1145" s="3" t="inlineStr">
        <is>
          <t>consilium/consilium_core/tests/test_core_controls_wave3.py</t>
        </is>
      </c>
    </row>
    <row r="1146" ht="30" customHeight="1">
      <c r="A1146" s="2" t="inlineStr">
        <is>
          <t>E-12</t>
        </is>
      </c>
      <c r="B1146" s="3" t="inlineStr">
        <is>
          <t>ESC</t>
        </is>
      </c>
      <c r="C1146" s="3" t="inlineStr">
        <is>
          <t>consilium_core.tests.test_core_controls_wave3</t>
        </is>
      </c>
      <c r="D1146" s="3" t="inlineStr">
        <is>
          <t>TestHistoryAndEvidencePack</t>
        </is>
      </c>
      <c r="E1146" s="3" t="inlineStr">
        <is>
          <t>test_the_pack_holds_the_record_its_history_and_a_verifiable_manifest</t>
        </is>
      </c>
      <c r="F1146" s="3" t="inlineStr">
        <is>
          <t>whole class</t>
        </is>
      </c>
      <c r="G1146" s="2" t="n">
        <v>4</v>
      </c>
      <c r="H1146" s="2" t="n">
        <v>4</v>
      </c>
      <c r="I1146" s="3" t="inlineStr">
        <is>
          <t>consilium/consilium_core/tests/test_core_controls_wave3.py</t>
        </is>
      </c>
    </row>
    <row r="1147" ht="30" customHeight="1">
      <c r="A1147" s="2" t="inlineStr">
        <is>
          <t>E-12</t>
        </is>
      </c>
      <c r="B1147" s="3" t="inlineStr">
        <is>
          <t>ESC</t>
        </is>
      </c>
      <c r="C1147" s="3" t="inlineStr">
        <is>
          <t>consilium_core.tests.test_core_controls_wave3</t>
        </is>
      </c>
      <c r="D1147" s="3" t="inlineStr">
        <is>
          <t>TestHistoryAndEvidencePack</t>
        </is>
      </c>
      <c r="E1147" s="3" t="inlineStr">
        <is>
          <t>test_the_pack_is_refused_without_an_evidence_role_and_the_refusal_is_audited</t>
        </is>
      </c>
      <c r="F1147" s="3" t="inlineStr">
        <is>
          <t>whole class</t>
        </is>
      </c>
      <c r="G1147" s="2" t="n">
        <v>4</v>
      </c>
      <c r="H1147" s="2" t="n">
        <v>4</v>
      </c>
      <c r="I1147" s="3" t="inlineStr">
        <is>
          <t>consilium/consilium_core/tests/test_core_controls_wave3.py</t>
        </is>
      </c>
    </row>
    <row r="1148" ht="17" customHeight="1">
      <c r="A1148" s="2" t="inlineStr">
        <is>
          <t>E-12</t>
        </is>
      </c>
      <c r="B1148" s="3" t="inlineStr">
        <is>
          <t>ESC</t>
        </is>
      </c>
      <c r="C1148" s="3" t="inlineStr">
        <is>
          <t>escalation.tests.test_entities</t>
        </is>
      </c>
      <c r="D1148" s="3" t="inlineStr">
        <is>
          <t>TestModuleShape</t>
        </is>
      </c>
      <c r="E1148" s="3" t="inlineStr">
        <is>
          <t>test_every_entity_tracks_changes</t>
        </is>
      </c>
      <c r="F1148" s="3" t="inlineStr">
        <is>
          <t>named method</t>
        </is>
      </c>
      <c r="G1148" s="2" t="n"/>
      <c r="H1148" s="2" t="n">
        <v>1</v>
      </c>
      <c r="I1148" s="3" t="inlineStr">
        <is>
          <t>consilium/escalation/tests/test_entities.py</t>
        </is>
      </c>
    </row>
    <row r="1149" ht="30" customHeight="1">
      <c r="A1149" s="2" t="inlineStr">
        <is>
          <t>E-13</t>
        </is>
      </c>
      <c r="B1149" s="3" t="inlineStr">
        <is>
          <t>ESC</t>
        </is>
      </c>
      <c r="C1149" s="3" t="inlineStr">
        <is>
          <t>escalation.tests.test_assignment_and_timing</t>
        </is>
      </c>
      <c r="D1149" s="3" t="inlineStr">
        <is>
          <t>TestTimeInStatus</t>
        </is>
      </c>
      <c r="E1149" s="3" t="inlineStr">
        <is>
          <t>test_each_stay_is_rebuilt_from_the_change_log</t>
        </is>
      </c>
      <c r="F1149" s="3" t="inlineStr">
        <is>
          <t>whole class</t>
        </is>
      </c>
      <c r="G1149" s="2" t="n">
        <v>5</v>
      </c>
      <c r="H1149" s="2" t="n">
        <v>5</v>
      </c>
      <c r="I1149" s="3" t="inlineStr">
        <is>
          <t>consilium/escalation/tests/test_assignment_and_timing.py</t>
        </is>
      </c>
    </row>
    <row r="1150" ht="30" customHeight="1">
      <c r="A1150" s="2" t="inlineStr">
        <is>
          <t>E-13</t>
        </is>
      </c>
      <c r="B1150" s="3" t="inlineStr">
        <is>
          <t>ESC</t>
        </is>
      </c>
      <c r="C1150" s="3" t="inlineStr">
        <is>
          <t>escalation.tests.test_assignment_and_timing</t>
        </is>
      </c>
      <c r="D1150" s="3" t="inlineStr">
        <is>
          <t>TestTimeInStatus</t>
        </is>
      </c>
      <c r="E1150" s="3" t="inlineStr">
        <is>
          <t>test_a_configured_target_judges_each_stay</t>
        </is>
      </c>
      <c r="F1150" s="3" t="inlineStr">
        <is>
          <t>whole class</t>
        </is>
      </c>
      <c r="G1150" s="2" t="n">
        <v>5</v>
      </c>
      <c r="H1150" s="2" t="n">
        <v>5</v>
      </c>
      <c r="I1150" s="3" t="inlineStr">
        <is>
          <t>consilium/escalation/tests/test_assignment_and_timing.py</t>
        </is>
      </c>
    </row>
    <row r="1151" ht="30" customHeight="1">
      <c r="A1151" s="2" t="inlineStr">
        <is>
          <t>E-13</t>
        </is>
      </c>
      <c r="B1151" s="3" t="inlineStr">
        <is>
          <t>ESC</t>
        </is>
      </c>
      <c r="C1151" s="3" t="inlineStr">
        <is>
          <t>escalation.tests.test_assignment_and_timing</t>
        </is>
      </c>
      <c r="D1151" s="3" t="inlineStr">
        <is>
          <t>TestTimeInStatus</t>
        </is>
      </c>
      <c r="E1151" s="3" t="inlineStr">
        <is>
          <t>test_a_target_scoped_to_other_matters_does_not_apply</t>
        </is>
      </c>
      <c r="F1151" s="3" t="inlineStr">
        <is>
          <t>whole class</t>
        </is>
      </c>
      <c r="G1151" s="2" t="n">
        <v>5</v>
      </c>
      <c r="H1151" s="2" t="n">
        <v>5</v>
      </c>
      <c r="I1151" s="3" t="inlineStr">
        <is>
          <t>consilium/escalation/tests/test_assignment_and_timing.py</t>
        </is>
      </c>
    </row>
    <row r="1152" ht="30" customHeight="1">
      <c r="A1152" s="2" t="inlineStr">
        <is>
          <t>E-13</t>
        </is>
      </c>
      <c r="B1152" s="3" t="inlineStr">
        <is>
          <t>ESC</t>
        </is>
      </c>
      <c r="C1152" s="3" t="inlineStr">
        <is>
          <t>escalation.tests.test_assignment_and_timing</t>
        </is>
      </c>
      <c r="D1152" s="3" t="inlineStr">
        <is>
          <t>TestTimeInStatus</t>
        </is>
      </c>
      <c r="E1152" s="3" t="inlineStr">
        <is>
          <t>test_the_page_payload_follows_read_access</t>
        </is>
      </c>
      <c r="F1152" s="3" t="inlineStr">
        <is>
          <t>whole class</t>
        </is>
      </c>
      <c r="G1152" s="2" t="n">
        <v>5</v>
      </c>
      <c r="H1152" s="2" t="n">
        <v>5</v>
      </c>
      <c r="I1152" s="3" t="inlineStr">
        <is>
          <t>consilium/escalation/tests/test_assignment_and_timing.py</t>
        </is>
      </c>
    </row>
    <row r="1153" ht="30" customHeight="1">
      <c r="A1153" s="2" t="inlineStr">
        <is>
          <t>E-13</t>
        </is>
      </c>
      <c r="B1153" s="3" t="inlineStr">
        <is>
          <t>ESC</t>
        </is>
      </c>
      <c r="C1153" s="3" t="inlineStr">
        <is>
          <t>escalation.tests.test_assignment_and_timing</t>
        </is>
      </c>
      <c r="D1153" s="3" t="inlineStr">
        <is>
          <t>TestTimeInStatus</t>
        </is>
      </c>
      <c r="E1153" s="3" t="inlineStr">
        <is>
          <t>test_closing_stops_the_matters_own_clock_and_not_only_a_status_clock</t>
        </is>
      </c>
      <c r="F1153" s="3" t="inlineStr">
        <is>
          <t>whole class</t>
        </is>
      </c>
      <c r="G1153" s="2" t="n">
        <v>5</v>
      </c>
      <c r="H1153" s="2" t="n">
        <v>5</v>
      </c>
      <c r="I1153" s="3" t="inlineStr">
        <is>
          <t>consilium/escalation/tests/test_assignment_and_timing.py</t>
        </is>
      </c>
    </row>
    <row r="1154" ht="17" customHeight="1">
      <c r="A1154" s="2" t="inlineStr">
        <is>
          <t>E-13</t>
        </is>
      </c>
      <c r="B1154" s="3" t="inlineStr">
        <is>
          <t>ESC</t>
        </is>
      </c>
      <c r="C1154" s="3" t="inlineStr">
        <is>
          <t>consilium_core.tests.test_sla_measures</t>
        </is>
      </c>
      <c r="D1154" s="3" t="inlineStr">
        <is>
          <t>TestTimeInState</t>
        </is>
      </c>
      <c r="E1154" s="3" t="inlineStr">
        <is>
          <t>test_a_record_outside_the_state_has_no_clock</t>
        </is>
      </c>
      <c r="F1154" s="3" t="inlineStr">
        <is>
          <t>whole class</t>
        </is>
      </c>
      <c r="G1154" s="2" t="n">
        <v>8</v>
      </c>
      <c r="H1154" s="2" t="n">
        <v>8</v>
      </c>
      <c r="I1154" s="3" t="inlineStr">
        <is>
          <t>consilium/consilium_core/tests/test_sla_measures.py</t>
        </is>
      </c>
    </row>
    <row r="1155" ht="17" customHeight="1">
      <c r="A1155" s="2" t="inlineStr">
        <is>
          <t>E-13</t>
        </is>
      </c>
      <c r="B1155" s="3" t="inlineStr">
        <is>
          <t>ESC</t>
        </is>
      </c>
      <c r="C1155" s="3" t="inlineStr">
        <is>
          <t>consilium_core.tests.test_sla_measures</t>
        </is>
      </c>
      <c r="D1155" s="3" t="inlineStr">
        <is>
          <t>TestTimeInState</t>
        </is>
      </c>
      <c r="E1155" s="3" t="inlineStr">
        <is>
          <t>test_entering_the_state_starts_a_clock_when_it_happened</t>
        </is>
      </c>
      <c r="F1155" s="3" t="inlineStr">
        <is>
          <t>whole class</t>
        </is>
      </c>
      <c r="G1155" s="2" t="n">
        <v>8</v>
      </c>
      <c r="H1155" s="2" t="n">
        <v>8</v>
      </c>
      <c r="I1155" s="3" t="inlineStr">
        <is>
          <t>consilium/consilium_core/tests/test_sla_measures.py</t>
        </is>
      </c>
    </row>
    <row r="1156" ht="17" customHeight="1">
      <c r="A1156" s="2" t="inlineStr">
        <is>
          <t>E-13</t>
        </is>
      </c>
      <c r="B1156" s="3" t="inlineStr">
        <is>
          <t>ESC</t>
        </is>
      </c>
      <c r="C1156" s="3" t="inlineStr">
        <is>
          <t>consilium_core.tests.test_sla_measures</t>
        </is>
      </c>
      <c r="D1156" s="3" t="inlineStr">
        <is>
          <t>TestTimeInState</t>
        </is>
      </c>
      <c r="E1156" s="3" t="inlineStr">
        <is>
          <t>test_leaving_stops_it_and_coming_back_starts_another</t>
        </is>
      </c>
      <c r="F1156" s="3" t="inlineStr">
        <is>
          <t>whole class</t>
        </is>
      </c>
      <c r="G1156" s="2" t="n">
        <v>8</v>
      </c>
      <c r="H1156" s="2" t="n">
        <v>8</v>
      </c>
      <c r="I1156" s="3" t="inlineStr">
        <is>
          <t>consilium/consilium_core/tests/test_sla_measures.py</t>
        </is>
      </c>
    </row>
    <row r="1157" ht="17" customHeight="1">
      <c r="A1157" s="2" t="inlineStr">
        <is>
          <t>E-13</t>
        </is>
      </c>
      <c r="B1157" s="3" t="inlineStr">
        <is>
          <t>ESC</t>
        </is>
      </c>
      <c r="C1157" s="3" t="inlineStr">
        <is>
          <t>consilium_core.tests.test_sla_measures</t>
        </is>
      </c>
      <c r="D1157" s="3" t="inlineStr">
        <is>
          <t>TestTimeInState</t>
        </is>
      </c>
      <c r="E1157" s="3" t="inlineStr">
        <is>
          <t>test_synchronising_again_changes_nothing</t>
        </is>
      </c>
      <c r="F1157" s="3" t="inlineStr">
        <is>
          <t>whole class</t>
        </is>
      </c>
      <c r="G1157" s="2" t="n">
        <v>8</v>
      </c>
      <c r="H1157" s="2" t="n">
        <v>8</v>
      </c>
      <c r="I1157" s="3" t="inlineStr">
        <is>
          <t>consilium/consilium_core/tests/test_sla_measures.py</t>
        </is>
      </c>
    </row>
    <row r="1158" ht="30" customHeight="1">
      <c r="A1158" s="2" t="inlineStr">
        <is>
          <t>E-13</t>
        </is>
      </c>
      <c r="B1158" s="3" t="inlineStr">
        <is>
          <t>ESC</t>
        </is>
      </c>
      <c r="C1158" s="3" t="inlineStr">
        <is>
          <t>consilium_core.tests.test_sla_measures</t>
        </is>
      </c>
      <c r="D1158" s="3" t="inlineStr">
        <is>
          <t>TestTimeInState</t>
        </is>
      </c>
      <c r="E1158" s="3" t="inlineStr">
        <is>
          <t>test_history_missed_while_the_job_was_not_running_is_rebuilt</t>
        </is>
      </c>
      <c r="F1158" s="3" t="inlineStr">
        <is>
          <t>whole class</t>
        </is>
      </c>
      <c r="G1158" s="2" t="n">
        <v>8</v>
      </c>
      <c r="H1158" s="2" t="n">
        <v>8</v>
      </c>
      <c r="I1158" s="3" t="inlineStr">
        <is>
          <t>consilium/consilium_core/tests/test_sla_measures.py</t>
        </is>
      </c>
    </row>
    <row r="1159" ht="17" customHeight="1">
      <c r="A1159" s="2" t="inlineStr">
        <is>
          <t>E-13</t>
        </is>
      </c>
      <c r="B1159" s="3" t="inlineStr">
        <is>
          <t>ESC</t>
        </is>
      </c>
      <c r="C1159" s="3" t="inlineStr">
        <is>
          <t>consilium_core.tests.test_sla_measures</t>
        </is>
      </c>
      <c r="D1159" s="3" t="inlineStr">
        <is>
          <t>TestTimeInState</t>
        </is>
      </c>
      <c r="E1159" s="3" t="inlineStr">
        <is>
          <t>test_the_live_hook_and_the_hourly_job_agree</t>
        </is>
      </c>
      <c r="F1159" s="3" t="inlineStr">
        <is>
          <t>whole class</t>
        </is>
      </c>
      <c r="G1159" s="2" t="n">
        <v>8</v>
      </c>
      <c r="H1159" s="2" t="n">
        <v>8</v>
      </c>
      <c r="I1159" s="3" t="inlineStr">
        <is>
          <t>consilium/consilium_core/tests/test_sla_measures.py</t>
        </is>
      </c>
    </row>
    <row r="1160" ht="30" customHeight="1">
      <c r="A1160" s="2" t="inlineStr">
        <is>
          <t>E-13</t>
        </is>
      </c>
      <c r="B1160" s="3" t="inlineStr">
        <is>
          <t>ESC</t>
        </is>
      </c>
      <c r="C1160" s="3" t="inlineStr">
        <is>
          <t>consilium_core.tests.test_sla_measures</t>
        </is>
      </c>
      <c r="D1160" s="3" t="inlineStr">
        <is>
          <t>TestTimeInState</t>
        </is>
      </c>
      <c r="E1160" s="3" t="inlineStr">
        <is>
          <t>test_a_record_the_definition_does_not_apply_to_is_not_measured</t>
        </is>
      </c>
      <c r="F1160" s="3" t="inlineStr">
        <is>
          <t>whole class</t>
        </is>
      </c>
      <c r="G1160" s="2" t="n">
        <v>8</v>
      </c>
      <c r="H1160" s="2" t="n">
        <v>8</v>
      </c>
      <c r="I1160" s="3" t="inlineStr">
        <is>
          <t>consilium/consilium_core/tests/test_sla_measures.py</t>
        </is>
      </c>
    </row>
    <row r="1161" ht="17" customHeight="1">
      <c r="A1161" s="2" t="inlineStr">
        <is>
          <t>E-13</t>
        </is>
      </c>
      <c r="B1161" s="3" t="inlineStr">
        <is>
          <t>ESC</t>
        </is>
      </c>
      <c r="C1161" s="3" t="inlineStr">
        <is>
          <t>consilium_core.tests.test_sla_measures</t>
        </is>
      </c>
      <c r="D1161" s="3" t="inlineStr">
        <is>
          <t>TestTimeInState</t>
        </is>
      </c>
      <c r="E1161" s="3" t="inlineStr">
        <is>
          <t>test_the_hourly_job_finds_changed_records_by_itself</t>
        </is>
      </c>
      <c r="F1161" s="3" t="inlineStr">
        <is>
          <t>whole class</t>
        </is>
      </c>
      <c r="G1161" s="2" t="n">
        <v>8</v>
      </c>
      <c r="H1161" s="2" t="n">
        <v>8</v>
      </c>
      <c r="I1161" s="3" t="inlineStr">
        <is>
          <t>consilium/consilium_core/tests/test_sla_measures.py</t>
        </is>
      </c>
    </row>
    <row r="1162" ht="17" customHeight="1">
      <c r="A1162" s="2" t="inlineStr">
        <is>
          <t>E-13</t>
        </is>
      </c>
      <c r="B1162" s="3" t="inlineStr">
        <is>
          <t>ESC</t>
        </is>
      </c>
      <c r="C1162" s="3" t="inlineStr">
        <is>
          <t>consilium_core.tests.test_sla_measures</t>
        </is>
      </c>
      <c r="D1162" s="3" t="inlineStr">
        <is>
          <t>TestWarningsAndBreaches</t>
        </is>
      </c>
      <c r="E1162" s="3" t="inlineStr">
        <is>
          <t>test_a_clock_past_its_threshold_warns_once</t>
        </is>
      </c>
      <c r="F1162" s="3" t="inlineStr">
        <is>
          <t>whole class</t>
        </is>
      </c>
      <c r="G1162" s="2" t="n">
        <v>7</v>
      </c>
      <c r="H1162" s="2" t="n">
        <v>7</v>
      </c>
      <c r="I1162" s="3" t="inlineStr">
        <is>
          <t>consilium/consilium_core/tests/test_sla_measures.py</t>
        </is>
      </c>
    </row>
    <row r="1163" ht="17" customHeight="1">
      <c r="A1163" s="2" t="inlineStr">
        <is>
          <t>E-13</t>
        </is>
      </c>
      <c r="B1163" s="3" t="inlineStr">
        <is>
          <t>ESC</t>
        </is>
      </c>
      <c r="C1163" s="3" t="inlineStr">
        <is>
          <t>consilium_core.tests.test_sla_measures</t>
        </is>
      </c>
      <c r="D1163" s="3" t="inlineStr">
        <is>
          <t>TestWarningsAndBreaches</t>
        </is>
      </c>
      <c r="E1163" s="3" t="inlineStr">
        <is>
          <t>test_a_clock_below_its_threshold_is_quiet</t>
        </is>
      </c>
      <c r="F1163" s="3" t="inlineStr">
        <is>
          <t>whole class</t>
        </is>
      </c>
      <c r="G1163" s="2" t="n">
        <v>7</v>
      </c>
      <c r="H1163" s="2" t="n">
        <v>7</v>
      </c>
      <c r="I1163" s="3" t="inlineStr">
        <is>
          <t>consilium/consilium_core/tests/test_sla_measures.py</t>
        </is>
      </c>
    </row>
    <row r="1164" ht="17" customHeight="1">
      <c r="A1164" s="2" t="inlineStr">
        <is>
          <t>E-13</t>
        </is>
      </c>
      <c r="B1164" s="3" t="inlineStr">
        <is>
          <t>ESC</t>
        </is>
      </c>
      <c r="C1164" s="3" t="inlineStr">
        <is>
          <t>consilium_core.tests.test_sla_measures</t>
        </is>
      </c>
      <c r="D1164" s="3" t="inlineStr">
        <is>
          <t>TestWarningsAndBreaches</t>
        </is>
      </c>
      <c r="E1164" s="3" t="inlineStr">
        <is>
          <t>test_no_threshold_means_no_warning</t>
        </is>
      </c>
      <c r="F1164" s="3" t="inlineStr">
        <is>
          <t>whole class</t>
        </is>
      </c>
      <c r="G1164" s="2" t="n">
        <v>7</v>
      </c>
      <c r="H1164" s="2" t="n">
        <v>7</v>
      </c>
      <c r="I1164" s="3" t="inlineStr">
        <is>
          <t>consilium/consilium_core/tests/test_sla_measures.py</t>
        </is>
      </c>
    </row>
    <row r="1165" ht="17" customHeight="1">
      <c r="A1165" s="2" t="inlineStr">
        <is>
          <t>E-13</t>
        </is>
      </c>
      <c r="B1165" s="3" t="inlineStr">
        <is>
          <t>ESC</t>
        </is>
      </c>
      <c r="C1165" s="3" t="inlineStr">
        <is>
          <t>consilium_core.tests.test_sla_measures</t>
        </is>
      </c>
      <c r="D1165" s="3" t="inlineStr">
        <is>
          <t>TestWarningsAndBreaches</t>
        </is>
      </c>
      <c r="E1165" s="3" t="inlineStr">
        <is>
          <t>test_a_breach_is_recorded_and_announced_once</t>
        </is>
      </c>
      <c r="F1165" s="3" t="inlineStr">
        <is>
          <t>whole class</t>
        </is>
      </c>
      <c r="G1165" s="2" t="n">
        <v>7</v>
      </c>
      <c r="H1165" s="2" t="n">
        <v>7</v>
      </c>
      <c r="I1165" s="3" t="inlineStr">
        <is>
          <t>consilium/consilium_core/tests/test_sla_measures.py</t>
        </is>
      </c>
    </row>
    <row r="1166" ht="17" customHeight="1">
      <c r="A1166" s="2" t="inlineStr">
        <is>
          <t>E-13</t>
        </is>
      </c>
      <c r="B1166" s="3" t="inlineStr">
        <is>
          <t>ESC</t>
        </is>
      </c>
      <c r="C1166" s="3" t="inlineStr">
        <is>
          <t>consilium_core.tests.test_sla_measures</t>
        </is>
      </c>
      <c r="D1166" s="3" t="inlineStr">
        <is>
          <t>TestWarningsAndBreaches</t>
        </is>
      </c>
      <c r="E1166" s="3" t="inlineStr">
        <is>
          <t>test_escalation_matters_are_not_told_twice_about_a_breach</t>
        </is>
      </c>
      <c r="F1166" s="3" t="inlineStr">
        <is>
          <t>whole class</t>
        </is>
      </c>
      <c r="G1166" s="2" t="n">
        <v>7</v>
      </c>
      <c r="H1166" s="2" t="n">
        <v>7</v>
      </c>
      <c r="I1166" s="3" t="inlineStr">
        <is>
          <t>consilium/consilium_core/tests/test_sla_measures.py</t>
        </is>
      </c>
    </row>
    <row r="1167" ht="17" customHeight="1">
      <c r="A1167" s="2" t="inlineStr">
        <is>
          <t>E-13</t>
        </is>
      </c>
      <c r="B1167" s="3" t="inlineStr">
        <is>
          <t>ESC</t>
        </is>
      </c>
      <c r="C1167" s="3" t="inlineStr">
        <is>
          <t>consilium_core.tests.test_sla_measures</t>
        </is>
      </c>
      <c r="D1167" s="3" t="inlineStr">
        <is>
          <t>TestWarningsAndBreaches</t>
        </is>
      </c>
      <c r="E1167" s="3" t="inlineStr">
        <is>
          <t>test_stopping_a_breached_clock_keeps_when_it_breached</t>
        </is>
      </c>
      <c r="F1167" s="3" t="inlineStr">
        <is>
          <t>whole class</t>
        </is>
      </c>
      <c r="G1167" s="2" t="n">
        <v>7</v>
      </c>
      <c r="H1167" s="2" t="n">
        <v>7</v>
      </c>
      <c r="I1167" s="3" t="inlineStr">
        <is>
          <t>consilium/consilium_core/tests/test_sla_measures.py</t>
        </is>
      </c>
    </row>
    <row r="1168" ht="17" customHeight="1">
      <c r="A1168" s="2" t="inlineStr">
        <is>
          <t>E-13</t>
        </is>
      </c>
      <c r="B1168" s="3" t="inlineStr">
        <is>
          <t>ESC</t>
        </is>
      </c>
      <c r="C1168" s="3" t="inlineStr">
        <is>
          <t>consilium_core.tests.test_sla_measures</t>
        </is>
      </c>
      <c r="D1168" s="3" t="inlineStr">
        <is>
          <t>TestWarningsAndBreaches</t>
        </is>
      </c>
      <c r="E1168" s="3" t="inlineStr">
        <is>
          <t>test_a_notification_failure_does_not_stop_the_sweep</t>
        </is>
      </c>
      <c r="F1168" s="3" t="inlineStr">
        <is>
          <t>whole class</t>
        </is>
      </c>
      <c r="G1168" s="2" t="n">
        <v>7</v>
      </c>
      <c r="H1168" s="2" t="n">
        <v>7</v>
      </c>
      <c r="I1168" s="3" t="inlineStr">
        <is>
          <t>consilium/consilium_core/tests/test_sla_measures.py</t>
        </is>
      </c>
    </row>
    <row r="1169" ht="17" customHeight="1">
      <c r="A1169" s="2" t="inlineStr">
        <is>
          <t>E-13</t>
        </is>
      </c>
      <c r="B1169" s="3" t="inlineStr">
        <is>
          <t>ESC</t>
        </is>
      </c>
      <c r="C1169" s="3" t="inlineStr">
        <is>
          <t>escalation.tests.test_resolution</t>
        </is>
      </c>
      <c r="D1169" s="3" t="inlineStr">
        <is>
          <t>TestServiceLevels</t>
        </is>
      </c>
      <c r="E1169" s="3" t="inlineStr">
        <is>
          <t>test_a_matter_runs_a_core_clock_against_its_threshold</t>
        </is>
      </c>
      <c r="F1169" s="3" t="inlineStr">
        <is>
          <t>whole class</t>
        </is>
      </c>
      <c r="G1169" s="2" t="n">
        <v>5</v>
      </c>
      <c r="H1169" s="2" t="n">
        <v>5</v>
      </c>
      <c r="I1169" s="3" t="inlineStr">
        <is>
          <t>consilium/escalation/tests/test_resolution.py</t>
        </is>
      </c>
    </row>
    <row r="1170" ht="17" customHeight="1">
      <c r="A1170" s="2" t="inlineStr">
        <is>
          <t>E-13</t>
        </is>
      </c>
      <c r="B1170" s="3" t="inlineStr">
        <is>
          <t>ESC</t>
        </is>
      </c>
      <c r="C1170" s="3" t="inlineStr">
        <is>
          <t>escalation.tests.test_resolution</t>
        </is>
      </c>
      <c r="D1170" s="3" t="inlineStr">
        <is>
          <t>TestServiceLevels</t>
        </is>
      </c>
      <c r="E1170" s="3" t="inlineStr">
        <is>
          <t>test_the_threshold_honours_the_business_calendar</t>
        </is>
      </c>
      <c r="F1170" s="3" t="inlineStr">
        <is>
          <t>whole class</t>
        </is>
      </c>
      <c r="G1170" s="2" t="n">
        <v>5</v>
      </c>
      <c r="H1170" s="2" t="n">
        <v>5</v>
      </c>
      <c r="I1170" s="3" t="inlineStr">
        <is>
          <t>consilium/escalation/tests/test_resolution.py</t>
        </is>
      </c>
    </row>
    <row r="1171" ht="17" customHeight="1">
      <c r="A1171" s="2" t="inlineStr">
        <is>
          <t>E-13</t>
        </is>
      </c>
      <c r="B1171" s="3" t="inlineStr">
        <is>
          <t>ESC</t>
        </is>
      </c>
      <c r="C1171" s="3" t="inlineStr">
        <is>
          <t>escalation.tests.test_resolution</t>
        </is>
      </c>
      <c r="D1171" s="3" t="inlineStr">
        <is>
          <t>TestServiceLevels</t>
        </is>
      </c>
      <c r="E1171" s="3" t="inlineStr">
        <is>
          <t>test_closing_a_matter_stops_its_clock</t>
        </is>
      </c>
      <c r="F1171" s="3" t="inlineStr">
        <is>
          <t>whole class</t>
        </is>
      </c>
      <c r="G1171" s="2" t="n">
        <v>5</v>
      </c>
      <c r="H1171" s="2" t="n">
        <v>5</v>
      </c>
      <c r="I1171" s="3" t="inlineStr">
        <is>
          <t>consilium/escalation/tests/test_resolution.py</t>
        </is>
      </c>
    </row>
    <row r="1172" ht="17" customHeight="1">
      <c r="A1172" s="2" t="inlineStr">
        <is>
          <t>E-13</t>
        </is>
      </c>
      <c r="B1172" s="3" t="inlineStr">
        <is>
          <t>ESC</t>
        </is>
      </c>
      <c r="C1172" s="3" t="inlineStr">
        <is>
          <t>escalation.tests.test_resolution</t>
        </is>
      </c>
      <c r="D1172" s="3" t="inlineStr">
        <is>
          <t>TestServiceLevels</t>
        </is>
      </c>
      <c r="E1172" s="3" t="inlineStr">
        <is>
          <t>test_a_breach_raises_the_matter_records_it_and_notifies</t>
        </is>
      </c>
      <c r="F1172" s="3" t="inlineStr">
        <is>
          <t>whole class</t>
        </is>
      </c>
      <c r="G1172" s="2" t="n">
        <v>5</v>
      </c>
      <c r="H1172" s="2" t="n">
        <v>5</v>
      </c>
      <c r="I1172" s="3" t="inlineStr">
        <is>
          <t>consilium/escalation/tests/test_resolution.py</t>
        </is>
      </c>
    </row>
    <row r="1173" ht="17" customHeight="1">
      <c r="A1173" s="2" t="inlineStr">
        <is>
          <t>E-13</t>
        </is>
      </c>
      <c r="B1173" s="3" t="inlineStr">
        <is>
          <t>ESC</t>
        </is>
      </c>
      <c r="C1173" s="3" t="inlineStr">
        <is>
          <t>escalation.tests.test_resolution</t>
        </is>
      </c>
      <c r="D1173" s="3" t="inlineStr">
        <is>
          <t>TestServiceLevels</t>
        </is>
      </c>
      <c r="E1173" s="3" t="inlineStr">
        <is>
          <t>test_a_breach_is_recorded_once</t>
        </is>
      </c>
      <c r="F1173" s="3" t="inlineStr">
        <is>
          <t>whole class</t>
        </is>
      </c>
      <c r="G1173" s="2" t="n">
        <v>5</v>
      </c>
      <c r="H1173" s="2" t="n">
        <v>5</v>
      </c>
      <c r="I1173" s="3" t="inlineStr">
        <is>
          <t>consilium/escalation/tests/test_resolution.py</t>
        </is>
      </c>
    </row>
    <row r="1174" ht="30" customHeight="1">
      <c r="A1174" s="2" t="inlineStr">
        <is>
          <t>E-13</t>
        </is>
      </c>
      <c r="B1174" s="3" t="inlineStr">
        <is>
          <t>ESC</t>
        </is>
      </c>
      <c r="C1174" s="3" t="inlineStr">
        <is>
          <t>escalation.tests.test_wave3_escalation</t>
        </is>
      </c>
      <c r="D1174" s="3" t="inlineStr">
        <is>
          <t>TestOnlyTheResolutionThresholdRaisesAMatter</t>
        </is>
      </c>
      <c r="E1174" s="3" t="inlineStr">
        <is>
          <t>test_a_time_in_state_breach_does_not_raise_the_severity</t>
        </is>
      </c>
      <c r="F1174" s="3" t="inlineStr">
        <is>
          <t>whole class</t>
        </is>
      </c>
      <c r="G1174" s="2" t="n">
        <v>2</v>
      </c>
      <c r="H1174" s="2" t="n">
        <v>2</v>
      </c>
      <c r="I1174" s="3" t="inlineStr">
        <is>
          <t>consilium/escalation/tests/test_wave3_escalation.py</t>
        </is>
      </c>
    </row>
    <row r="1175" ht="30" customHeight="1">
      <c r="A1175" s="2" t="inlineStr">
        <is>
          <t>E-13</t>
        </is>
      </c>
      <c r="B1175" s="3" t="inlineStr">
        <is>
          <t>ESC</t>
        </is>
      </c>
      <c r="C1175" s="3" t="inlineStr">
        <is>
          <t>escalation.tests.test_wave3_escalation</t>
        </is>
      </c>
      <c r="D1175" s="3" t="inlineStr">
        <is>
          <t>TestOnlyTheResolutionThresholdRaisesAMatter</t>
        </is>
      </c>
      <c r="E1175" s="3" t="inlineStr">
        <is>
          <t>test_the_resolution_threshold_still_raises_the_matter</t>
        </is>
      </c>
      <c r="F1175" s="3" t="inlineStr">
        <is>
          <t>whole class</t>
        </is>
      </c>
      <c r="G1175" s="2" t="n">
        <v>2</v>
      </c>
      <c r="H1175" s="2" t="n">
        <v>2</v>
      </c>
      <c r="I1175" s="3" t="inlineStr">
        <is>
          <t>consilium/escalation/tests/test_wave3_escalation.py</t>
        </is>
      </c>
    </row>
    <row r="1176" ht="30" customHeight="1">
      <c r="A1176" s="2" t="inlineStr">
        <is>
          <t>E-13</t>
        </is>
      </c>
      <c r="B1176" s="3" t="inlineStr">
        <is>
          <t>ESC</t>
        </is>
      </c>
      <c r="C1176" s="3" t="inlineStr">
        <is>
          <t>escalation.tests.test_regressions</t>
        </is>
      </c>
      <c r="D1176" s="3" t="inlineStr">
        <is>
          <t>TestBreachIsNotRepeated</t>
        </is>
      </c>
      <c r="E1176" s="3" t="inlineStr">
        <is>
          <t>test_saving_a_breached_matter_does_not_start_a_second_overdue_clock</t>
        </is>
      </c>
      <c r="F1176" s="3" t="inlineStr">
        <is>
          <t>whole class</t>
        </is>
      </c>
      <c r="G1176" s="2" t="n">
        <v>2</v>
      </c>
      <c r="H1176" s="2" t="n">
        <v>2</v>
      </c>
      <c r="I1176" s="3" t="inlineStr">
        <is>
          <t>consilium/escalation/tests/test_regressions.py</t>
        </is>
      </c>
    </row>
    <row r="1177" ht="30" customHeight="1">
      <c r="A1177" s="2" t="inlineStr">
        <is>
          <t>E-13</t>
        </is>
      </c>
      <c r="B1177" s="3" t="inlineStr">
        <is>
          <t>ESC</t>
        </is>
      </c>
      <c r="C1177" s="3" t="inlineStr">
        <is>
          <t>escalation.tests.test_regressions</t>
        </is>
      </c>
      <c r="D1177" s="3" t="inlineStr">
        <is>
          <t>TestBreachIsNotRepeated</t>
        </is>
      </c>
      <c r="E1177" s="3" t="inlineStr">
        <is>
          <t>test_a_new_matter_on_the_same_threshold_still_gets_its_own_clock</t>
        </is>
      </c>
      <c r="F1177" s="3" t="inlineStr">
        <is>
          <t>whole class</t>
        </is>
      </c>
      <c r="G1177" s="2" t="n">
        <v>2</v>
      </c>
      <c r="H1177" s="2" t="n">
        <v>2</v>
      </c>
      <c r="I1177" s="3" t="inlineStr">
        <is>
          <t>consilium/escalation/tests/test_regressions.py</t>
        </is>
      </c>
    </row>
    <row r="1178" ht="17" customHeight="1">
      <c r="A1178" s="2" t="inlineStr">
        <is>
          <t>E-14</t>
        </is>
      </c>
      <c r="B1178" s="3" t="inlineStr">
        <is>
          <t>ESC</t>
        </is>
      </c>
      <c r="C1178" s="3" t="inlineStr">
        <is>
          <t>escalation.tests.test_resolution</t>
        </is>
      </c>
      <c r="D1178" s="3" t="inlineStr">
        <is>
          <t>TestStatesAndClosure</t>
        </is>
      </c>
      <c r="E1178" s="3" t="inlineStr">
        <is>
          <t>test_a_matter_moves_through_its_states</t>
        </is>
      </c>
      <c r="F1178" s="3" t="inlineStr">
        <is>
          <t>named method</t>
        </is>
      </c>
      <c r="G1178" s="2" t="n"/>
      <c r="H1178" s="2" t="n">
        <v>1</v>
      </c>
      <c r="I1178" s="3" t="inlineStr">
        <is>
          <t>consilium/escalation/tests/test_resolution.py</t>
        </is>
      </c>
    </row>
    <row r="1179" ht="30" customHeight="1">
      <c r="A1179" s="2" t="inlineStr">
        <is>
          <t>E-14</t>
        </is>
      </c>
      <c r="B1179" s="3" t="inlineStr">
        <is>
          <t>ESC</t>
        </is>
      </c>
      <c r="C1179" s="3" t="inlineStr">
        <is>
          <t>escalation.tests.test_resolution</t>
        </is>
      </c>
      <c r="D1179" s="3" t="inlineStr">
        <is>
          <t>TestStatesAndClosure</t>
        </is>
      </c>
      <c r="E1179" s="3" t="inlineStr">
        <is>
          <t>test_an_externally_tracked_closure_needs_its_external_reference</t>
        </is>
      </c>
      <c r="F1179" s="3" t="inlineStr">
        <is>
          <t>named method</t>
        </is>
      </c>
      <c r="G1179" s="2" t="n"/>
      <c r="H1179" s="2" t="n">
        <v>1</v>
      </c>
      <c r="I1179" s="3" t="inlineStr">
        <is>
          <t>consilium/escalation/tests/test_resolution.py</t>
        </is>
      </c>
    </row>
    <row r="1180" ht="17" customHeight="1">
      <c r="A1180" s="2" t="inlineStr">
        <is>
          <t>E-14</t>
        </is>
      </c>
      <c r="B1180" s="3" t="inlineStr">
        <is>
          <t>ESC</t>
        </is>
      </c>
      <c r="C1180" s="3" t="inlineStr">
        <is>
          <t>escalation.tests.test_portal_actions</t>
        </is>
      </c>
      <c r="D1180" s="3" t="inlineStr">
        <is>
          <t>TestStatus</t>
        </is>
      </c>
      <c r="E1180" s="3" t="inlineStr">
        <is>
          <t>test_the_owner_moves_the_matter_and_sends_it_for_review</t>
        </is>
      </c>
      <c r="F1180" s="3" t="inlineStr">
        <is>
          <t>whole class</t>
        </is>
      </c>
      <c r="G1180" s="2" t="n">
        <v>4</v>
      </c>
      <c r="H1180" s="2" t="n">
        <v>4</v>
      </c>
      <c r="I1180" s="3" t="inlineStr">
        <is>
          <t>consilium/escalation/tests/test_portal_actions.py</t>
        </is>
      </c>
    </row>
    <row r="1181" ht="17" customHeight="1">
      <c r="A1181" s="2" t="inlineStr">
        <is>
          <t>E-14</t>
        </is>
      </c>
      <c r="B1181" s="3" t="inlineStr">
        <is>
          <t>ESC</t>
        </is>
      </c>
      <c r="C1181" s="3" t="inlineStr">
        <is>
          <t>escalation.tests.test_portal_actions</t>
        </is>
      </c>
      <c r="D1181" s="3" t="inlineStr">
        <is>
          <t>TestStatus</t>
        </is>
      </c>
      <c r="E1181" s="3" t="inlineStr">
        <is>
          <t>test_only_the_reviewer_hands_it_back</t>
        </is>
      </c>
      <c r="F1181" s="3" t="inlineStr">
        <is>
          <t>whole class</t>
        </is>
      </c>
      <c r="G1181" s="2" t="n">
        <v>4</v>
      </c>
      <c r="H1181" s="2" t="n">
        <v>4</v>
      </c>
      <c r="I1181" s="3" t="inlineStr">
        <is>
          <t>consilium/escalation/tests/test_portal_actions.py</t>
        </is>
      </c>
    </row>
    <row r="1182" ht="17" customHeight="1">
      <c r="A1182" s="2" t="inlineStr">
        <is>
          <t>E-14</t>
        </is>
      </c>
      <c r="B1182" s="3" t="inlineStr">
        <is>
          <t>ESC</t>
        </is>
      </c>
      <c r="C1182" s="3" t="inlineStr">
        <is>
          <t>escalation.tests.test_portal_actions</t>
        </is>
      </c>
      <c r="D1182" s="3" t="inlineStr">
        <is>
          <t>TestStatus</t>
        </is>
      </c>
      <c r="E1182" s="3" t="inlineStr">
        <is>
          <t>test_a_move_cannot_close_the_matter</t>
        </is>
      </c>
      <c r="F1182" s="3" t="inlineStr">
        <is>
          <t>whole class</t>
        </is>
      </c>
      <c r="G1182" s="2" t="n">
        <v>4</v>
      </c>
      <c r="H1182" s="2" t="n">
        <v>4</v>
      </c>
      <c r="I1182" s="3" t="inlineStr">
        <is>
          <t>consilium/escalation/tests/test_portal_actions.py</t>
        </is>
      </c>
    </row>
    <row r="1183" ht="17" customHeight="1">
      <c r="A1183" s="2" t="inlineStr">
        <is>
          <t>E-14</t>
        </is>
      </c>
      <c r="B1183" s="3" t="inlineStr">
        <is>
          <t>ESC</t>
        </is>
      </c>
      <c r="C1183" s="3" t="inlineStr">
        <is>
          <t>escalation.tests.test_portal_actions</t>
        </is>
      </c>
      <c r="D1183" s="3" t="inlineStr">
        <is>
          <t>TestStatus</t>
        </is>
      </c>
      <c r="E1183" s="3" t="inlineStr">
        <is>
          <t>test_a_reader_cannot_move_it</t>
        </is>
      </c>
      <c r="F1183" s="3" t="inlineStr">
        <is>
          <t>whole class</t>
        </is>
      </c>
      <c r="G1183" s="2" t="n">
        <v>4</v>
      </c>
      <c r="H1183" s="2" t="n">
        <v>4</v>
      </c>
      <c r="I1183" s="3" t="inlineStr">
        <is>
          <t>consilium/escalation/tests/test_portal_actions.py</t>
        </is>
      </c>
    </row>
    <row r="1184" ht="30" customHeight="1">
      <c r="A1184" s="2" t="inlineStr">
        <is>
          <t>E-14</t>
        </is>
      </c>
      <c r="B1184" s="3" t="inlineStr">
        <is>
          <t>ESC</t>
        </is>
      </c>
      <c r="C1184" s="3" t="inlineStr">
        <is>
          <t>escalation.tests.test_portal_actions</t>
        </is>
      </c>
      <c r="D1184" s="3" t="inlineStr">
        <is>
          <t>TestClosure</t>
        </is>
      </c>
      <c r="E1184" s="3" t="inlineStr">
        <is>
          <t>test_closing_as_tracked_elsewhere_takes_the_closures_reference</t>
        </is>
      </c>
      <c r="F1184" s="3" t="inlineStr">
        <is>
          <t>named method</t>
        </is>
      </c>
      <c r="G1184" s="2" t="n"/>
      <c r="H1184" s="2" t="n">
        <v>1</v>
      </c>
      <c r="I1184" s="3" t="inlineStr">
        <is>
          <t>consilium/escalation/tests/test_portal_actions.py</t>
        </is>
      </c>
    </row>
    <row r="1185" ht="17" customHeight="1">
      <c r="A1185" s="2" t="inlineStr">
        <is>
          <t>E-14</t>
        </is>
      </c>
      <c r="B1185" s="3" t="inlineStr">
        <is>
          <t>ESC</t>
        </is>
      </c>
      <c r="C1185" s="3" t="inlineStr">
        <is>
          <t>consilium_core.tests.test_state_flags</t>
        </is>
      </c>
      <c r="D1185" s="3" t="inlineStr">
        <is>
          <t>TestStateFlags</t>
        </is>
      </c>
      <c r="E1185" s="3" t="inlineStr">
        <is>
          <t>test_every_seeded_state_is_configured</t>
        </is>
      </c>
      <c r="F1185" s="3" t="inlineStr">
        <is>
          <t>whole class</t>
        </is>
      </c>
      <c r="G1185" s="2" t="n">
        <v>7</v>
      </c>
      <c r="H1185" s="2" t="n">
        <v>7</v>
      </c>
      <c r="I1185" s="3" t="inlineStr">
        <is>
          <t>consilium/consilium_core/tests/test_state_flags.py</t>
        </is>
      </c>
    </row>
    <row r="1186" ht="17" customHeight="1">
      <c r="A1186" s="2" t="inlineStr">
        <is>
          <t>E-14</t>
        </is>
      </c>
      <c r="B1186" s="3" t="inlineStr">
        <is>
          <t>ESC</t>
        </is>
      </c>
      <c r="C1186" s="3" t="inlineStr">
        <is>
          <t>consilium_core.tests.test_state_flags</t>
        </is>
      </c>
      <c r="D1186" s="3" t="inlineStr">
        <is>
          <t>TestStateFlags</t>
        </is>
      </c>
      <c r="E1186" s="3" t="inlineStr">
        <is>
          <t>test_flags_follow_the_state_on_save</t>
        </is>
      </c>
      <c r="F1186" s="3" t="inlineStr">
        <is>
          <t>whole class</t>
        </is>
      </c>
      <c r="G1186" s="2" t="n">
        <v>7</v>
      </c>
      <c r="H1186" s="2" t="n">
        <v>7</v>
      </c>
      <c r="I1186" s="3" t="inlineStr">
        <is>
          <t>consilium/consilium_core/tests/test_state_flags.py</t>
        </is>
      </c>
    </row>
    <row r="1187" ht="17" customHeight="1">
      <c r="A1187" s="2" t="inlineStr">
        <is>
          <t>E-14</t>
        </is>
      </c>
      <c r="B1187" s="3" t="inlineStr">
        <is>
          <t>ESC</t>
        </is>
      </c>
      <c r="C1187" s="3" t="inlineStr">
        <is>
          <t>consilium_core.tests.test_state_flags</t>
        </is>
      </c>
      <c r="D1187" s="3" t="inlineStr">
        <is>
          <t>TestStateFlags</t>
        </is>
      </c>
      <c r="E1187" s="3" t="inlineStr">
        <is>
          <t>test_an_unconfigured_state_is_refused_rather_than_guessed</t>
        </is>
      </c>
      <c r="F1187" s="3" t="inlineStr">
        <is>
          <t>whole class</t>
        </is>
      </c>
      <c r="G1187" s="2" t="n">
        <v>7</v>
      </c>
      <c r="H1187" s="2" t="n">
        <v>7</v>
      </c>
      <c r="I1187" s="3" t="inlineStr">
        <is>
          <t>consilium/consilium_core/tests/test_state_flags.py</t>
        </is>
      </c>
    </row>
    <row r="1188" ht="17" customHeight="1">
      <c r="A1188" s="2" t="inlineStr">
        <is>
          <t>E-14</t>
        </is>
      </c>
      <c r="B1188" s="3" t="inlineStr">
        <is>
          <t>ESC</t>
        </is>
      </c>
      <c r="C1188" s="3" t="inlineStr">
        <is>
          <t>consilium_core.tests.test_state_flags</t>
        </is>
      </c>
      <c r="D1188" s="3" t="inlineStr">
        <is>
          <t>TestStateFlags</t>
        </is>
      </c>
      <c r="E1188" s="3" t="inlineStr">
        <is>
          <t>test_a_state_cannot_be_mapped_twice</t>
        </is>
      </c>
      <c r="F1188" s="3" t="inlineStr">
        <is>
          <t>whole class</t>
        </is>
      </c>
      <c r="G1188" s="2" t="n">
        <v>7</v>
      </c>
      <c r="H1188" s="2" t="n">
        <v>7</v>
      </c>
      <c r="I1188" s="3" t="inlineStr">
        <is>
          <t>consilium/consilium_core/tests/test_state_flags.py</t>
        </is>
      </c>
    </row>
    <row r="1189" ht="17" customHeight="1">
      <c r="A1189" s="2" t="inlineStr">
        <is>
          <t>E-14</t>
        </is>
      </c>
      <c r="B1189" s="3" t="inlineStr">
        <is>
          <t>ESC</t>
        </is>
      </c>
      <c r="C1189" s="3" t="inlineStr">
        <is>
          <t>consilium_core.tests.test_state_flags</t>
        </is>
      </c>
      <c r="D1189" s="3" t="inlineStr">
        <is>
          <t>TestStateFlags</t>
        </is>
      </c>
      <c r="E1189" s="3" t="inlineStr">
        <is>
          <t>test_the_checker_passes_on_the_app</t>
        </is>
      </c>
      <c r="F1189" s="3" t="inlineStr">
        <is>
          <t>whole class</t>
        </is>
      </c>
      <c r="G1189" s="2" t="n">
        <v>7</v>
      </c>
      <c r="H1189" s="2" t="n">
        <v>7</v>
      </c>
      <c r="I1189" s="3" t="inlineStr">
        <is>
          <t>consilium/consilium_core/tests/test_state_flags.py</t>
        </is>
      </c>
    </row>
    <row r="1190" ht="17" customHeight="1">
      <c r="A1190" s="2" t="inlineStr">
        <is>
          <t>E-14</t>
        </is>
      </c>
      <c r="B1190" s="3" t="inlineStr">
        <is>
          <t>ESC</t>
        </is>
      </c>
      <c r="C1190" s="3" t="inlineStr">
        <is>
          <t>consilium_core.tests.test_state_flags</t>
        </is>
      </c>
      <c r="D1190" s="3" t="inlineStr">
        <is>
          <t>TestStateFlags</t>
        </is>
      </c>
      <c r="E1190" s="3" t="inlineStr">
        <is>
          <t>test_the_checker_catches_a_state_name_in_a_conditional</t>
        </is>
      </c>
      <c r="F1190" s="3" t="inlineStr">
        <is>
          <t>whole class</t>
        </is>
      </c>
      <c r="G1190" s="2" t="n">
        <v>7</v>
      </c>
      <c r="H1190" s="2" t="n">
        <v>7</v>
      </c>
      <c r="I1190" s="3" t="inlineStr">
        <is>
          <t>consilium/consilium_core/tests/test_state_flags.py</t>
        </is>
      </c>
    </row>
    <row r="1191" ht="17" customHeight="1">
      <c r="A1191" s="2" t="inlineStr">
        <is>
          <t>E-14</t>
        </is>
      </c>
      <c r="B1191" s="3" t="inlineStr">
        <is>
          <t>ESC</t>
        </is>
      </c>
      <c r="C1191" s="3" t="inlineStr">
        <is>
          <t>consilium_core.tests.test_state_flags</t>
        </is>
      </c>
      <c r="D1191" s="3" t="inlineStr">
        <is>
          <t>TestStateFlags</t>
        </is>
      </c>
      <c r="E1191" s="3" t="inlineStr">
        <is>
          <t>test_the_checker_allows_a_state_name_being_assigned</t>
        </is>
      </c>
      <c r="F1191" s="3" t="inlineStr">
        <is>
          <t>whole class</t>
        </is>
      </c>
      <c r="G1191" s="2" t="n">
        <v>7</v>
      </c>
      <c r="H1191" s="2" t="n">
        <v>7</v>
      </c>
      <c r="I1191" s="3" t="inlineStr">
        <is>
          <t>consilium/consilium_core/tests/test_state_flags.py</t>
        </is>
      </c>
    </row>
    <row r="1192" ht="17" customHeight="1">
      <c r="A1192" s="2" t="inlineStr">
        <is>
          <t>E-15</t>
        </is>
      </c>
      <c r="B1192" s="3" t="inlineStr">
        <is>
          <t>ESC</t>
        </is>
      </c>
      <c r="C1192" s="3" t="inlineStr">
        <is>
          <t>escalation.tests.test_analysis</t>
        </is>
      </c>
      <c r="D1192" s="3" t="inlineStr">
        <is>
          <t>TestAnalysis</t>
        </is>
      </c>
      <c r="E1192" s="3" t="inlineStr">
        <is>
          <t>test_volumes_by_period_type_and_severity</t>
        </is>
      </c>
      <c r="F1192" s="3" t="inlineStr">
        <is>
          <t>whole class</t>
        </is>
      </c>
      <c r="G1192" s="2" t="n">
        <v>5</v>
      </c>
      <c r="H1192" s="2" t="n">
        <v>5</v>
      </c>
      <c r="I1192" s="3" t="inlineStr">
        <is>
          <t>consilium/escalation/tests/test_analysis.py</t>
        </is>
      </c>
    </row>
    <row r="1193" ht="17" customHeight="1">
      <c r="A1193" s="2" t="inlineStr">
        <is>
          <t>E-15</t>
        </is>
      </c>
      <c r="B1193" s="3" t="inlineStr">
        <is>
          <t>ESC</t>
        </is>
      </c>
      <c r="C1193" s="3" t="inlineStr">
        <is>
          <t>escalation.tests.test_analysis</t>
        </is>
      </c>
      <c r="D1193" s="3" t="inlineStr">
        <is>
          <t>TestAnalysis</t>
        </is>
      </c>
      <c r="E1193" s="3" t="inlineStr">
        <is>
          <t>test_durations_over_closed_matters</t>
        </is>
      </c>
      <c r="F1193" s="3" t="inlineStr">
        <is>
          <t>whole class</t>
        </is>
      </c>
      <c r="G1193" s="2" t="n">
        <v>5</v>
      </c>
      <c r="H1193" s="2" t="n">
        <v>5</v>
      </c>
      <c r="I1193" s="3" t="inlineStr">
        <is>
          <t>consilium/escalation/tests/test_analysis.py</t>
        </is>
      </c>
    </row>
    <row r="1194" ht="17" customHeight="1">
      <c r="A1194" s="2" t="inlineStr">
        <is>
          <t>E-15</t>
        </is>
      </c>
      <c r="B1194" s="3" t="inlineStr">
        <is>
          <t>ESC</t>
        </is>
      </c>
      <c r="C1194" s="3" t="inlineStr">
        <is>
          <t>escalation.tests.test_analysis</t>
        </is>
      </c>
      <c r="D1194" s="3" t="inlineStr">
        <is>
          <t>TestAnalysis</t>
        </is>
      </c>
      <c r="E1194" s="3" t="inlineStr">
        <is>
          <t>test_destinations_and_outcomes</t>
        </is>
      </c>
      <c r="F1194" s="3" t="inlineStr">
        <is>
          <t>whole class</t>
        </is>
      </c>
      <c r="G1194" s="2" t="n">
        <v>5</v>
      </c>
      <c r="H1194" s="2" t="n">
        <v>5</v>
      </c>
      <c r="I1194" s="3" t="inlineStr">
        <is>
          <t>consilium/escalation/tests/test_analysis.py</t>
        </is>
      </c>
    </row>
    <row r="1195" ht="17" customHeight="1">
      <c r="A1195" s="2" t="inlineStr">
        <is>
          <t>E-15</t>
        </is>
      </c>
      <c r="B1195" s="3" t="inlineStr">
        <is>
          <t>ESC</t>
        </is>
      </c>
      <c r="C1195" s="3" t="inlineStr">
        <is>
          <t>escalation.tests.test_analysis</t>
        </is>
      </c>
      <c r="D1195" s="3" t="inlineStr">
        <is>
          <t>TestAnalysis</t>
        </is>
      </c>
      <c r="E1195" s="3" t="inlineStr">
        <is>
          <t>test_the_summary_is_exportable_as_csv</t>
        </is>
      </c>
      <c r="F1195" s="3" t="inlineStr">
        <is>
          <t>whole class</t>
        </is>
      </c>
      <c r="G1195" s="2" t="n">
        <v>5</v>
      </c>
      <c r="H1195" s="2" t="n">
        <v>5</v>
      </c>
      <c r="I1195" s="3" t="inlineStr">
        <is>
          <t>consilium/escalation/tests/test_analysis.py</t>
        </is>
      </c>
    </row>
    <row r="1196" ht="17" customHeight="1">
      <c r="A1196" s="2" t="inlineStr">
        <is>
          <t>E-15</t>
        </is>
      </c>
      <c r="B1196" s="3" t="inlineStr">
        <is>
          <t>ESC</t>
        </is>
      </c>
      <c r="C1196" s="3" t="inlineStr">
        <is>
          <t>escalation.tests.test_analysis</t>
        </is>
      </c>
      <c r="D1196" s="3" t="inlineStr">
        <is>
          <t>TestAnalysis</t>
        </is>
      </c>
      <c r="E1196" s="3" t="inlineStr">
        <is>
          <t>test_the_analysis_shows_only_what_the_viewer_may_see</t>
        </is>
      </c>
      <c r="F1196" s="3" t="inlineStr">
        <is>
          <t>whole class</t>
        </is>
      </c>
      <c r="G1196" s="2" t="n">
        <v>5</v>
      </c>
      <c r="H1196" s="2" t="n">
        <v>5</v>
      </c>
      <c r="I1196" s="3" t="inlineStr">
        <is>
          <t>consilium/escalation/tests/test_analysis.py</t>
        </is>
      </c>
    </row>
    <row r="1197" ht="17" customHeight="1">
      <c r="A1197" s="2" t="inlineStr">
        <is>
          <t>E-15</t>
        </is>
      </c>
      <c r="B1197" s="3" t="inlineStr">
        <is>
          <t>ESC</t>
        </is>
      </c>
      <c r="C1197" s="3" t="inlineStr">
        <is>
          <t>consilium_core.tests.test_ai_features</t>
        </is>
      </c>
      <c r="D1197" s="3" t="inlineStr">
        <is>
          <t>TestTrends</t>
        </is>
      </c>
      <c r="E1197" s="3" t="inlineStr">
        <is>
          <t>test_classification_of_a_series</t>
        </is>
      </c>
      <c r="F1197" s="3" t="inlineStr">
        <is>
          <t>whole class</t>
        </is>
      </c>
      <c r="G1197" s="2" t="n">
        <v>4</v>
      </c>
      <c r="H1197" s="2" t="n">
        <v>4</v>
      </c>
      <c r="I1197" s="3" t="inlineStr">
        <is>
          <t>consilium/consilium_core/tests/test_ai_features.py</t>
        </is>
      </c>
    </row>
    <row r="1198" ht="17" customHeight="1">
      <c r="A1198" s="2" t="inlineStr">
        <is>
          <t>E-15</t>
        </is>
      </c>
      <c r="B1198" s="3" t="inlineStr">
        <is>
          <t>ESC</t>
        </is>
      </c>
      <c r="C1198" s="3" t="inlineStr">
        <is>
          <t>consilium_core.tests.test_ai_features</t>
        </is>
      </c>
      <c r="D1198" s="3" t="inlineStr">
        <is>
          <t>TestTrends</t>
        </is>
      </c>
      <c r="E1198" s="3" t="inlineStr">
        <is>
          <t>test_a_burst_of_violations_in_one_category_is_rising</t>
        </is>
      </c>
      <c r="F1198" s="3" t="inlineStr">
        <is>
          <t>whole class</t>
        </is>
      </c>
      <c r="G1198" s="2" t="n">
        <v>4</v>
      </c>
      <c r="H1198" s="2" t="n">
        <v>4</v>
      </c>
      <c r="I1198" s="3" t="inlineStr">
        <is>
          <t>consilium/consilium_core/tests/test_ai_features.py</t>
        </is>
      </c>
    </row>
    <row r="1199" ht="30" customHeight="1">
      <c r="A1199" s="2" t="inlineStr">
        <is>
          <t>E-15</t>
        </is>
      </c>
      <c r="B1199" s="3" t="inlineStr">
        <is>
          <t>ESC</t>
        </is>
      </c>
      <c r="C1199" s="3" t="inlineStr">
        <is>
          <t>consilium_core.tests.test_ai_features</t>
        </is>
      </c>
      <c r="D1199" s="3" t="inlineStr">
        <is>
          <t>TestTrends</t>
        </is>
      </c>
      <c r="E1199" s="3" t="inlineStr">
        <is>
          <t>test_a_sensitive_escalation_is_shown_to_a_cleared_reader_but_never_counted_in_what_leaves</t>
        </is>
      </c>
      <c r="F1199" s="3" t="inlineStr">
        <is>
          <t>whole class</t>
        </is>
      </c>
      <c r="G1199" s="2" t="n">
        <v>4</v>
      </c>
      <c r="H1199" s="2" t="n">
        <v>4</v>
      </c>
      <c r="I1199" s="3" t="inlineStr">
        <is>
          <t>consilium/consilium_core/tests/test_ai_features.py</t>
        </is>
      </c>
    </row>
    <row r="1200" ht="17" customHeight="1">
      <c r="A1200" s="2" t="inlineStr">
        <is>
          <t>E-15</t>
        </is>
      </c>
      <c r="B1200" s="3" t="inlineStr">
        <is>
          <t>ESC</t>
        </is>
      </c>
      <c r="C1200" s="3" t="inlineStr">
        <is>
          <t>consilium_core.tests.test_ai_features</t>
        </is>
      </c>
      <c r="D1200" s="3" t="inlineStr">
        <is>
          <t>TestTrends</t>
        </is>
      </c>
      <c r="E1200" s="3" t="inlineStr">
        <is>
          <t>test_the_narrative_payload_is_counts_and_taxonomy_only</t>
        </is>
      </c>
      <c r="F1200" s="3" t="inlineStr">
        <is>
          <t>whole class</t>
        </is>
      </c>
      <c r="G1200" s="2" t="n">
        <v>4</v>
      </c>
      <c r="H1200" s="2" t="n">
        <v>4</v>
      </c>
      <c r="I1200" s="3" t="inlineStr">
        <is>
          <t>consilium/consilium_core/tests/test_ai_features.py</t>
        </is>
      </c>
    </row>
    <row r="1201" ht="17" customHeight="1">
      <c r="A1201" s="2" t="inlineStr">
        <is>
          <t>E-16</t>
        </is>
      </c>
      <c r="B1201" s="3" t="inlineStr">
        <is>
          <t>ESC</t>
        </is>
      </c>
      <c r="C1201" s="3" t="inlineStr">
        <is>
          <t>escalation.tests.test_sensitivity</t>
        </is>
      </c>
      <c r="D1201" s="3" t="inlineStr">
        <is>
          <t>TestSensitiveMatters</t>
        </is>
      </c>
      <c r="E1201" s="3" t="inlineStr">
        <is>
          <t>test_the_api_list_hides_a_sensitive_matter</t>
        </is>
      </c>
      <c r="F1201" s="3" t="inlineStr">
        <is>
          <t>whole class</t>
        </is>
      </c>
      <c r="G1201" s="2" t="n">
        <v>8</v>
      </c>
      <c r="H1201" s="2" t="n">
        <v>8</v>
      </c>
      <c r="I1201" s="3" t="inlineStr">
        <is>
          <t>consilium/escalation/tests/test_sensitivity.py</t>
        </is>
      </c>
    </row>
    <row r="1202" ht="30" customHeight="1">
      <c r="A1202" s="2" t="inlineStr">
        <is>
          <t>E-16</t>
        </is>
      </c>
      <c r="B1202" s="3" t="inlineStr">
        <is>
          <t>ESC</t>
        </is>
      </c>
      <c r="C1202" s="3" t="inlineStr">
        <is>
          <t>escalation.tests.test_sensitivity</t>
        </is>
      </c>
      <c r="D1202" s="3" t="inlineStr">
        <is>
          <t>TestSensitiveMatters</t>
        </is>
      </c>
      <c r="E1202" s="3" t="inlineStr">
        <is>
          <t>test_the_time_limit_position_counts_only_what_the_reader_may_see</t>
        </is>
      </c>
      <c r="F1202" s="3" t="inlineStr">
        <is>
          <t>whole class</t>
        </is>
      </c>
      <c r="G1202" s="2" t="n">
        <v>8</v>
      </c>
      <c r="H1202" s="2" t="n">
        <v>8</v>
      </c>
      <c r="I1202" s="3" t="inlineStr">
        <is>
          <t>consilium/escalation/tests/test_sensitivity.py</t>
        </is>
      </c>
    </row>
    <row r="1203" ht="17" customHeight="1">
      <c r="A1203" s="2" t="inlineStr">
        <is>
          <t>E-16</t>
        </is>
      </c>
      <c r="B1203" s="3" t="inlineStr">
        <is>
          <t>ESC</t>
        </is>
      </c>
      <c r="C1203" s="3" t="inlineStr">
        <is>
          <t>escalation.tests.test_sensitivity</t>
        </is>
      </c>
      <c r="D1203" s="3" t="inlineStr">
        <is>
          <t>TestSensitiveMatters</t>
        </is>
      </c>
      <c r="E1203" s="3" t="inlineStr">
        <is>
          <t>test_the_api_read_of_a_sensitive_matter_is_refused</t>
        </is>
      </c>
      <c r="F1203" s="3" t="inlineStr">
        <is>
          <t>whole class</t>
        </is>
      </c>
      <c r="G1203" s="2" t="n">
        <v>8</v>
      </c>
      <c r="H1203" s="2" t="n">
        <v>8</v>
      </c>
      <c r="I1203" s="3" t="inlineStr">
        <is>
          <t>consilium/escalation/tests/test_sensitivity.py</t>
        </is>
      </c>
    </row>
    <row r="1204" ht="30" customHeight="1">
      <c r="A1204" s="2" t="inlineStr">
        <is>
          <t>E-16</t>
        </is>
      </c>
      <c r="B1204" s="3" t="inlineStr">
        <is>
          <t>ESC</t>
        </is>
      </c>
      <c r="C1204" s="3" t="inlineStr">
        <is>
          <t>escalation.tests.test_sensitivity</t>
        </is>
      </c>
      <c r="D1204" s="3" t="inlineStr">
        <is>
          <t>TestSensitiveMatters</t>
        </is>
      </c>
      <c r="E1204" s="3" t="inlineStr">
        <is>
          <t>test_a_filtered_api_read_cannot_be_used_to_confirm_existence</t>
        </is>
      </c>
      <c r="F1204" s="3" t="inlineStr">
        <is>
          <t>whole class</t>
        </is>
      </c>
      <c r="G1204" s="2" t="n">
        <v>8</v>
      </c>
      <c r="H1204" s="2" t="n">
        <v>8</v>
      </c>
      <c r="I1204" s="3" t="inlineStr">
        <is>
          <t>consilium/escalation/tests/test_sensitivity.py</t>
        </is>
      </c>
    </row>
    <row r="1205" ht="17" customHeight="1">
      <c r="A1205" s="2" t="inlineStr">
        <is>
          <t>E-16</t>
        </is>
      </c>
      <c r="B1205" s="3" t="inlineStr">
        <is>
          <t>ESC</t>
        </is>
      </c>
      <c r="C1205" s="3" t="inlineStr">
        <is>
          <t>escalation.tests.test_sensitivity</t>
        </is>
      </c>
      <c r="D1205" s="3" t="inlineStr">
        <is>
          <t>TestSensitiveMatters</t>
        </is>
      </c>
      <c r="E1205" s="3" t="inlineStr">
        <is>
          <t>test_reports_and_counts_are_restricted_too</t>
        </is>
      </c>
      <c r="F1205" s="3" t="inlineStr">
        <is>
          <t>whole class</t>
        </is>
      </c>
      <c r="G1205" s="2" t="n">
        <v>8</v>
      </c>
      <c r="H1205" s="2" t="n">
        <v>8</v>
      </c>
      <c r="I1205" s="3" t="inlineStr">
        <is>
          <t>consilium/escalation/tests/test_sensitivity.py</t>
        </is>
      </c>
    </row>
    <row r="1206" ht="30" customHeight="1">
      <c r="A1206" s="2" t="inlineStr">
        <is>
          <t>E-16</t>
        </is>
      </c>
      <c r="B1206" s="3" t="inlineStr">
        <is>
          <t>ESC</t>
        </is>
      </c>
      <c r="C1206" s="3" t="inlineStr">
        <is>
          <t>escalation.tests.test_sensitivity</t>
        </is>
      </c>
      <c r="D1206" s="3" t="inlineStr">
        <is>
          <t>TestSensitiveMatters</t>
        </is>
      </c>
      <c r="E1206" s="3" t="inlineStr">
        <is>
          <t>test_the_restriction_follows_the_records_hanging_off_the_matter</t>
        </is>
      </c>
      <c r="F1206" s="3" t="inlineStr">
        <is>
          <t>whole class</t>
        </is>
      </c>
      <c r="G1206" s="2" t="n">
        <v>8</v>
      </c>
      <c r="H1206" s="2" t="n">
        <v>8</v>
      </c>
      <c r="I1206" s="3" t="inlineStr">
        <is>
          <t>consilium/escalation/tests/test_sensitivity.py</t>
        </is>
      </c>
    </row>
    <row r="1207" ht="17" customHeight="1">
      <c r="A1207" s="2" t="inlineStr">
        <is>
          <t>E-16</t>
        </is>
      </c>
      <c r="B1207" s="3" t="inlineStr">
        <is>
          <t>ESC</t>
        </is>
      </c>
      <c r="C1207" s="3" t="inlineStr">
        <is>
          <t>escalation.tests.test_sensitivity</t>
        </is>
      </c>
      <c r="D1207" s="3" t="inlineStr">
        <is>
          <t>TestSensitiveMatters</t>
        </is>
      </c>
      <c r="E1207" s="3" t="inlineStr">
        <is>
          <t>test_clearing_the_flag_restores_visibility_everywhere</t>
        </is>
      </c>
      <c r="F1207" s="3" t="inlineStr">
        <is>
          <t>whole class</t>
        </is>
      </c>
      <c r="G1207" s="2" t="n">
        <v>8</v>
      </c>
      <c r="H1207" s="2" t="n">
        <v>8</v>
      </c>
      <c r="I1207" s="3" t="inlineStr">
        <is>
          <t>consilium/escalation/tests/test_sensitivity.py</t>
        </is>
      </c>
    </row>
    <row r="1208" ht="17" customHeight="1">
      <c r="A1208" s="2" t="inlineStr">
        <is>
          <t>E-16</t>
        </is>
      </c>
      <c r="B1208" s="3" t="inlineStr">
        <is>
          <t>ESC</t>
        </is>
      </c>
      <c r="C1208" s="3" t="inlineStr">
        <is>
          <t>escalation.tests.test_sensitivity</t>
        </is>
      </c>
      <c r="D1208" s="3" t="inlineStr">
        <is>
          <t>TestSensitiveMatters</t>
        </is>
      </c>
      <c r="E1208" s="3" t="inlineStr">
        <is>
          <t>test_setting_the_flag_propagates_to_existing_children</t>
        </is>
      </c>
      <c r="F1208" s="3" t="inlineStr">
        <is>
          <t>whole class</t>
        </is>
      </c>
      <c r="G1208" s="2" t="n">
        <v>8</v>
      </c>
      <c r="H1208" s="2" t="n">
        <v>8</v>
      </c>
      <c r="I1208" s="3" t="inlineStr">
        <is>
          <t>consilium/escalation/tests/test_sensitivity.py</t>
        </is>
      </c>
    </row>
    <row r="1209" ht="30" customHeight="1">
      <c r="A1209" s="2" t="inlineStr">
        <is>
          <t>E-16</t>
        </is>
      </c>
      <c r="B1209" s="3" t="inlineStr">
        <is>
          <t>ESC</t>
        </is>
      </c>
      <c r="C1209" s="3" t="inlineStr">
        <is>
          <t>escalation.tests.test_sensitivity</t>
        </is>
      </c>
      <c r="D1209" s="3" t="inlineStr">
        <is>
          <t>TestNamedPeopleSeeTheirSensitiveMatters</t>
        </is>
      </c>
      <c r="E1209" s="3" t="inlineStr">
        <is>
          <t>test_the_named_response_owner_reads_it_on_every_path</t>
        </is>
      </c>
      <c r="F1209" s="3" t="inlineStr">
        <is>
          <t>whole class</t>
        </is>
      </c>
      <c r="G1209" s="2" t="n">
        <v>4</v>
      </c>
      <c r="H1209" s="2" t="n">
        <v>4</v>
      </c>
      <c r="I1209" s="3" t="inlineStr">
        <is>
          <t>consilium/escalation/tests/test_sensitivity.py</t>
        </is>
      </c>
    </row>
    <row r="1210" ht="30" customHeight="1">
      <c r="A1210" s="2" t="inlineStr">
        <is>
          <t>E-16</t>
        </is>
      </c>
      <c r="B1210" s="3" t="inlineStr">
        <is>
          <t>ESC</t>
        </is>
      </c>
      <c r="C1210" s="3" t="inlineStr">
        <is>
          <t>escalation.tests.test_sensitivity</t>
        </is>
      </c>
      <c r="D1210" s="3" t="inlineStr">
        <is>
          <t>TestNamedPeopleSeeTheirSensitiveMatters</t>
        </is>
      </c>
      <c r="E1210" s="3" t="inlineStr">
        <is>
          <t>test_a_member_of_its_group_queue_reads_it</t>
        </is>
      </c>
      <c r="F1210" s="3" t="inlineStr">
        <is>
          <t>whole class</t>
        </is>
      </c>
      <c r="G1210" s="2" t="n">
        <v>4</v>
      </c>
      <c r="H1210" s="2" t="n">
        <v>4</v>
      </c>
      <c r="I1210" s="3" t="inlineStr">
        <is>
          <t>consilium/escalation/tests/test_sensitivity.py</t>
        </is>
      </c>
    </row>
    <row r="1211" ht="30" customHeight="1">
      <c r="A1211" s="2" t="inlineStr">
        <is>
          <t>E-16</t>
        </is>
      </c>
      <c r="B1211" s="3" t="inlineStr">
        <is>
          <t>ESC</t>
        </is>
      </c>
      <c r="C1211" s="3" t="inlineStr">
        <is>
          <t>escalation.tests.test_sensitivity</t>
        </is>
      </c>
      <c r="D1211" s="3" t="inlineStr">
        <is>
          <t>TestNamedPeopleSeeTheirSensitiveMatters</t>
        </is>
      </c>
      <c r="E1211" s="3" t="inlineStr">
        <is>
          <t>test_the_accountable_executive_and_raiser_read_it</t>
        </is>
      </c>
      <c r="F1211" s="3" t="inlineStr">
        <is>
          <t>whole class</t>
        </is>
      </c>
      <c r="G1211" s="2" t="n">
        <v>4</v>
      </c>
      <c r="H1211" s="2" t="n">
        <v>4</v>
      </c>
      <c r="I1211" s="3" t="inlineStr">
        <is>
          <t>consilium/escalation/tests/test_sensitivity.py</t>
        </is>
      </c>
    </row>
    <row r="1212" ht="30" customHeight="1">
      <c r="A1212" s="2" t="inlineStr">
        <is>
          <t>E-16</t>
        </is>
      </c>
      <c r="B1212" s="3" t="inlineStr">
        <is>
          <t>ESC</t>
        </is>
      </c>
      <c r="C1212" s="3" t="inlineStr">
        <is>
          <t>escalation.tests.test_sensitivity</t>
        </is>
      </c>
      <c r="D1212" s="3" t="inlineStr">
        <is>
          <t>TestNamedPeopleSeeTheirSensitiveMatters</t>
        </is>
      </c>
      <c r="E1212" s="3" t="inlineStr">
        <is>
          <t>test_someone_it_does_not_name_still_cannot</t>
        </is>
      </c>
      <c r="F1212" s="3" t="inlineStr">
        <is>
          <t>whole class</t>
        </is>
      </c>
      <c r="G1212" s="2" t="n">
        <v>4</v>
      </c>
      <c r="H1212" s="2" t="n">
        <v>4</v>
      </c>
      <c r="I1212" s="3" t="inlineStr">
        <is>
          <t>consilium/escalation/tests/test_sensitivity.py</t>
        </is>
      </c>
    </row>
    <row r="1213" ht="30" customHeight="1">
      <c r="A1213" s="2" t="inlineStr">
        <is>
          <t>E-16</t>
        </is>
      </c>
      <c r="B1213" s="3" t="inlineStr">
        <is>
          <t>ESC</t>
        </is>
      </c>
      <c r="C1213" s="3" t="inlineStr">
        <is>
          <t>escalation.tests.test_portal_actions</t>
        </is>
      </c>
      <c r="D1213" s="3" t="inlineStr">
        <is>
          <t>TestSensitiveMatter</t>
        </is>
      </c>
      <c r="E1213" s="3" t="inlineStr">
        <is>
          <t>test_a_sensitive_matter_is_invisible_to_an_owner_without_access</t>
        </is>
      </c>
      <c r="F1213" s="3" t="inlineStr">
        <is>
          <t>whole class</t>
        </is>
      </c>
      <c r="G1213" s="2" t="n">
        <v>3</v>
      </c>
      <c r="H1213" s="2" t="n">
        <v>3</v>
      </c>
      <c r="I1213" s="3" t="inlineStr">
        <is>
          <t>consilium/escalation/tests/test_portal_actions.py</t>
        </is>
      </c>
    </row>
    <row r="1214" ht="30" customHeight="1">
      <c r="A1214" s="2" t="inlineStr">
        <is>
          <t>E-16</t>
        </is>
      </c>
      <c r="B1214" s="3" t="inlineStr">
        <is>
          <t>ESC</t>
        </is>
      </c>
      <c r="C1214" s="3" t="inlineStr">
        <is>
          <t>escalation.tests.test_portal_actions</t>
        </is>
      </c>
      <c r="D1214" s="3" t="inlineStr">
        <is>
          <t>TestSensitiveMatter</t>
        </is>
      </c>
      <c r="E1214" s="3" t="inlineStr">
        <is>
          <t>test_the_response_owner_it_names_works_it_without_clearance</t>
        </is>
      </c>
      <c r="F1214" s="3" t="inlineStr">
        <is>
          <t>whole class</t>
        </is>
      </c>
      <c r="G1214" s="2" t="n">
        <v>3</v>
      </c>
      <c r="H1214" s="2" t="n">
        <v>3</v>
      </c>
      <c r="I1214" s="3" t="inlineStr">
        <is>
          <t>consilium/escalation/tests/test_portal_actions.py</t>
        </is>
      </c>
    </row>
    <row r="1215" ht="17" customHeight="1">
      <c r="A1215" s="2" t="inlineStr">
        <is>
          <t>E-16</t>
        </is>
      </c>
      <c r="B1215" s="3" t="inlineStr">
        <is>
          <t>ESC</t>
        </is>
      </c>
      <c r="C1215" s="3" t="inlineStr">
        <is>
          <t>escalation.tests.test_portal_actions</t>
        </is>
      </c>
      <c r="D1215" s="3" t="inlineStr">
        <is>
          <t>TestSensitiveMatter</t>
        </is>
      </c>
      <c r="E1215" s="3" t="inlineStr">
        <is>
          <t>test_a_cleared_owner_works_it</t>
        </is>
      </c>
      <c r="F1215" s="3" t="inlineStr">
        <is>
          <t>whole class</t>
        </is>
      </c>
      <c r="G1215" s="2" t="n">
        <v>3</v>
      </c>
      <c r="H1215" s="2" t="n">
        <v>3</v>
      </c>
      <c r="I1215" s="3" t="inlineStr">
        <is>
          <t>consilium/escalation/tests/test_portal_actions.py</t>
        </is>
      </c>
    </row>
    <row r="1216" ht="17" customHeight="1">
      <c r="A1216" s="2" t="inlineStr">
        <is>
          <t>E-16</t>
        </is>
      </c>
      <c r="B1216" s="3" t="inlineStr">
        <is>
          <t>ESC</t>
        </is>
      </c>
      <c r="C1216" s="3" t="inlineStr">
        <is>
          <t>escalation.tests.test_entities</t>
        </is>
      </c>
      <c r="D1216" s="3" t="inlineStr">
        <is>
          <t>TestEscalationMatter</t>
        </is>
      </c>
      <c r="E1216" s="3" t="inlineStr">
        <is>
          <t>test_permissions</t>
        </is>
      </c>
      <c r="F1216" s="3" t="inlineStr">
        <is>
          <t>named method</t>
        </is>
      </c>
      <c r="G1216" s="2" t="n"/>
      <c r="H1216" s="2" t="n">
        <v>1</v>
      </c>
      <c r="I1216" s="3" t="inlineStr">
        <is>
          <t>consilium/escalation/tests/test_entities.py</t>
        </is>
      </c>
    </row>
    <row r="1217" ht="30" customHeight="1">
      <c r="A1217" s="2" t="inlineStr">
        <is>
          <t>E-17</t>
        </is>
      </c>
      <c r="B1217" s="3" t="inlineStr">
        <is>
          <t>ESC</t>
        </is>
      </c>
      <c r="C1217" s="3" t="inlineStr">
        <is>
          <t>consilium_core.tests.test_notification_templates</t>
        </is>
      </c>
      <c r="D1217" s="3" t="inlineStr">
        <is>
          <t>TestEventApi</t>
        </is>
      </c>
      <c r="E1217" s="3" t="inlineStr">
        <is>
          <t>test_a_template_is_rendered_against_the_context_and_the_record</t>
        </is>
      </c>
      <c r="F1217" s="3" t="inlineStr">
        <is>
          <t>whole class</t>
        </is>
      </c>
      <c r="G1217" s="2" t="n">
        <v>10</v>
      </c>
      <c r="H1217" s="2" t="n">
        <v>10</v>
      </c>
      <c r="I1217" s="3" t="inlineStr">
        <is>
          <t>consilium/consilium_core/tests/test_notification_templates.py</t>
        </is>
      </c>
    </row>
    <row r="1218" ht="30" customHeight="1">
      <c r="A1218" s="2" t="inlineStr">
        <is>
          <t>E-17</t>
        </is>
      </c>
      <c r="B1218" s="3" t="inlineStr">
        <is>
          <t>ESC</t>
        </is>
      </c>
      <c r="C1218" s="3" t="inlineStr">
        <is>
          <t>consilium_core.tests.test_notification_templates</t>
        </is>
      </c>
      <c r="D1218" s="3" t="inlineStr">
        <is>
          <t>TestEventApi</t>
        </is>
      </c>
      <c r="E1218" s="3" t="inlineStr">
        <is>
          <t>test_email_is_handed_to_the_framework_mail_queue</t>
        </is>
      </c>
      <c r="F1218" s="3" t="inlineStr">
        <is>
          <t>whole class</t>
        </is>
      </c>
      <c r="G1218" s="2" t="n">
        <v>10</v>
      </c>
      <c r="H1218" s="2" t="n">
        <v>10</v>
      </c>
      <c r="I1218" s="3" t="inlineStr">
        <is>
          <t>consilium/consilium_core/tests/test_notification_templates.py</t>
        </is>
      </c>
    </row>
    <row r="1219" ht="30" customHeight="1">
      <c r="A1219" s="2" t="inlineStr">
        <is>
          <t>E-17</t>
        </is>
      </c>
      <c r="B1219" s="3" t="inlineStr">
        <is>
          <t>ESC</t>
        </is>
      </c>
      <c r="C1219" s="3" t="inlineStr">
        <is>
          <t>consilium_core.tests.test_notification_templates</t>
        </is>
      </c>
      <c r="D1219" s="3" t="inlineStr">
        <is>
          <t>TestEventApi</t>
        </is>
      </c>
      <c r="E1219" s="3" t="inlineStr">
        <is>
          <t>test_one_event_can_go_to_two_channels</t>
        </is>
      </c>
      <c r="F1219" s="3" t="inlineStr">
        <is>
          <t>whole class</t>
        </is>
      </c>
      <c r="G1219" s="2" t="n">
        <v>10</v>
      </c>
      <c r="H1219" s="2" t="n">
        <v>10</v>
      </c>
      <c r="I1219" s="3" t="inlineStr">
        <is>
          <t>consilium/consilium_core/tests/test_notification_templates.py</t>
        </is>
      </c>
    </row>
    <row r="1220" ht="30" customHeight="1">
      <c r="A1220" s="2" t="inlineStr">
        <is>
          <t>E-17</t>
        </is>
      </c>
      <c r="B1220" s="3" t="inlineStr">
        <is>
          <t>ESC</t>
        </is>
      </c>
      <c r="C1220" s="3" t="inlineStr">
        <is>
          <t>consilium_core.tests.test_notification_templates</t>
        </is>
      </c>
      <c r="D1220" s="3" t="inlineStr">
        <is>
          <t>TestEventApi</t>
        </is>
      </c>
      <c r="E1220" s="3" t="inlineStr">
        <is>
          <t>test_without_outgoing_email_the_record_channel_is_used_and_nothing_fails</t>
        </is>
      </c>
      <c r="F1220" s="3" t="inlineStr">
        <is>
          <t>whole class</t>
        </is>
      </c>
      <c r="G1220" s="2" t="n">
        <v>10</v>
      </c>
      <c r="H1220" s="2" t="n">
        <v>10</v>
      </c>
      <c r="I1220" s="3" t="inlineStr">
        <is>
          <t>consilium/consilium_core/tests/test_notification_templates.py</t>
        </is>
      </c>
    </row>
    <row r="1221" ht="30" customHeight="1">
      <c r="A1221" s="2" t="inlineStr">
        <is>
          <t>E-17</t>
        </is>
      </c>
      <c r="B1221" s="3" t="inlineStr">
        <is>
          <t>ESC</t>
        </is>
      </c>
      <c r="C1221" s="3" t="inlineStr">
        <is>
          <t>consilium_core.tests.test_notification_templates</t>
        </is>
      </c>
      <c r="D1221" s="3" t="inlineStr">
        <is>
          <t>TestEventApi</t>
        </is>
      </c>
      <c r="E1221" s="3" t="inlineStr">
        <is>
          <t>test_a_person_who_turned_email_off_is_not_emailed_and_the_refusal_is_recorded</t>
        </is>
      </c>
      <c r="F1221" s="3" t="inlineStr">
        <is>
          <t>whole class</t>
        </is>
      </c>
      <c r="G1221" s="2" t="n">
        <v>10</v>
      </c>
      <c r="H1221" s="2" t="n">
        <v>10</v>
      </c>
      <c r="I1221" s="3" t="inlineStr">
        <is>
          <t>consilium/consilium_core/tests/test_notification_templates.py</t>
        </is>
      </c>
    </row>
    <row r="1222" ht="30" customHeight="1">
      <c r="A1222" s="2" t="inlineStr">
        <is>
          <t>E-17</t>
        </is>
      </c>
      <c r="B1222" s="3" t="inlineStr">
        <is>
          <t>ESC</t>
        </is>
      </c>
      <c r="C1222" s="3" t="inlineStr">
        <is>
          <t>consilium_core.tests.test_notification_templates</t>
        </is>
      </c>
      <c r="D1222" s="3" t="inlineStr">
        <is>
          <t>TestEventApi</t>
        </is>
      </c>
      <c r="E1222" s="3" t="inlineStr">
        <is>
          <t>test_a_disabled_account_is_not_emailed</t>
        </is>
      </c>
      <c r="F1222" s="3" t="inlineStr">
        <is>
          <t>whole class</t>
        </is>
      </c>
      <c r="G1222" s="2" t="n">
        <v>10</v>
      </c>
      <c r="H1222" s="2" t="n">
        <v>10</v>
      </c>
      <c r="I1222" s="3" t="inlineStr">
        <is>
          <t>consilium/consilium_core/tests/test_notification_templates.py</t>
        </is>
      </c>
    </row>
    <row r="1223" ht="30" customHeight="1">
      <c r="A1223" s="2" t="inlineStr">
        <is>
          <t>E-17</t>
        </is>
      </c>
      <c r="B1223" s="3" t="inlineStr">
        <is>
          <t>ESC</t>
        </is>
      </c>
      <c r="C1223" s="3" t="inlineStr">
        <is>
          <t>consilium_core.tests.test_notification_templates</t>
        </is>
      </c>
      <c r="D1223" s="3" t="inlineStr">
        <is>
          <t>TestEventApi</t>
        </is>
      </c>
      <c r="E1223" s="3" t="inlineStr">
        <is>
          <t>test_an_event_with_no_active_template_is_still_recorded</t>
        </is>
      </c>
      <c r="F1223" s="3" t="inlineStr">
        <is>
          <t>whole class</t>
        </is>
      </c>
      <c r="G1223" s="2" t="n">
        <v>10</v>
      </c>
      <c r="H1223" s="2" t="n">
        <v>10</v>
      </c>
      <c r="I1223" s="3" t="inlineStr">
        <is>
          <t>consilium/consilium_core/tests/test_notification_templates.py</t>
        </is>
      </c>
    </row>
    <row r="1224" ht="30" customHeight="1">
      <c r="A1224" s="2" t="inlineStr">
        <is>
          <t>E-17</t>
        </is>
      </c>
      <c r="B1224" s="3" t="inlineStr">
        <is>
          <t>ESC</t>
        </is>
      </c>
      <c r="C1224" s="3" t="inlineStr">
        <is>
          <t>consilium_core.tests.test_notification_templates</t>
        </is>
      </c>
      <c r="D1224" s="3" t="inlineStr">
        <is>
          <t>TestEventApi</t>
        </is>
      </c>
      <c r="E1224" s="3" t="inlineStr">
        <is>
          <t>test_a_known_event_without_templates_uses_its_built_in_wording</t>
        </is>
      </c>
      <c r="F1224" s="3" t="inlineStr">
        <is>
          <t>whole class</t>
        </is>
      </c>
      <c r="G1224" s="2" t="n">
        <v>10</v>
      </c>
      <c r="H1224" s="2" t="n">
        <v>10</v>
      </c>
      <c r="I1224" s="3" t="inlineStr">
        <is>
          <t>consilium/consilium_core/tests/test_notification_templates.py</t>
        </is>
      </c>
    </row>
    <row r="1225" ht="30" customHeight="1">
      <c r="A1225" s="2" t="inlineStr">
        <is>
          <t>E-17</t>
        </is>
      </c>
      <c r="B1225" s="3" t="inlineStr">
        <is>
          <t>ESC</t>
        </is>
      </c>
      <c r="C1225" s="3" t="inlineStr">
        <is>
          <t>consilium_core.tests.test_notification_templates</t>
        </is>
      </c>
      <c r="D1225" s="3" t="inlineStr">
        <is>
          <t>TestEventApi</t>
        </is>
      </c>
      <c r="E1225" s="3" t="inlineStr">
        <is>
          <t>test_people_who_are_not_users_are_dropped</t>
        </is>
      </c>
      <c r="F1225" s="3" t="inlineStr">
        <is>
          <t>whole class</t>
        </is>
      </c>
      <c r="G1225" s="2" t="n">
        <v>10</v>
      </c>
      <c r="H1225" s="2" t="n">
        <v>10</v>
      </c>
      <c r="I1225" s="3" t="inlineStr">
        <is>
          <t>consilium/consilium_core/tests/test_notification_templates.py</t>
        </is>
      </c>
    </row>
    <row r="1226" ht="30" customHeight="1">
      <c r="A1226" s="2" t="inlineStr">
        <is>
          <t>E-17</t>
        </is>
      </c>
      <c r="B1226" s="3" t="inlineStr">
        <is>
          <t>ESC</t>
        </is>
      </c>
      <c r="C1226" s="3" t="inlineStr">
        <is>
          <t>consilium_core.tests.test_notification_templates</t>
        </is>
      </c>
      <c r="D1226" s="3" t="inlineStr">
        <is>
          <t>TestEventApi</t>
        </is>
      </c>
      <c r="E1226" s="3" t="inlineStr">
        <is>
          <t>test_a_long_subject_is_shortened_rather_than_refused</t>
        </is>
      </c>
      <c r="F1226" s="3" t="inlineStr">
        <is>
          <t>whole class</t>
        </is>
      </c>
      <c r="G1226" s="2" t="n">
        <v>10</v>
      </c>
      <c r="H1226" s="2" t="n">
        <v>10</v>
      </c>
      <c r="I1226" s="3" t="inlineStr">
        <is>
          <t>consilium/consilium_core/tests/test_notification_templates.py</t>
        </is>
      </c>
    </row>
    <row r="1227" ht="30" customHeight="1">
      <c r="A1227" s="2" t="inlineStr">
        <is>
          <t>E-17</t>
        </is>
      </c>
      <c r="B1227" s="3" t="inlineStr">
        <is>
          <t>ESC</t>
        </is>
      </c>
      <c r="C1227" s="3" t="inlineStr">
        <is>
          <t>consilium_core.tests.test_notification_templates</t>
        </is>
      </c>
      <c r="D1227" s="3" t="inlineStr">
        <is>
          <t>TestTemplateFailures</t>
        </is>
      </c>
      <c r="E1227" s="3" t="inlineStr">
        <is>
          <t>test_a_template_that_does_not_parse_is_refused_when_saved</t>
        </is>
      </c>
      <c r="F1227" s="3" t="inlineStr">
        <is>
          <t>whole class</t>
        </is>
      </c>
      <c r="G1227" s="2" t="n">
        <v>5</v>
      </c>
      <c r="H1227" s="2" t="n">
        <v>5</v>
      </c>
      <c r="I1227" s="3" t="inlineStr">
        <is>
          <t>consilium/consilium_core/tests/test_notification_templates.py</t>
        </is>
      </c>
    </row>
    <row r="1228" ht="30" customHeight="1">
      <c r="A1228" s="2" t="inlineStr">
        <is>
          <t>E-17</t>
        </is>
      </c>
      <c r="B1228" s="3" t="inlineStr">
        <is>
          <t>ESC</t>
        </is>
      </c>
      <c r="C1228" s="3" t="inlineStr">
        <is>
          <t>consilium_core.tests.test_notification_templates</t>
        </is>
      </c>
      <c r="D1228" s="3" t="inlineStr">
        <is>
          <t>TestTemplateFailures</t>
        </is>
      </c>
      <c r="E1228" s="3" t="inlineStr">
        <is>
          <t>test_a_template_reaching_for_internals_is_refused</t>
        </is>
      </c>
      <c r="F1228" s="3" t="inlineStr">
        <is>
          <t>whole class</t>
        </is>
      </c>
      <c r="G1228" s="2" t="n">
        <v>5</v>
      </c>
      <c r="H1228" s="2" t="n">
        <v>5</v>
      </c>
      <c r="I1228" s="3" t="inlineStr">
        <is>
          <t>consilium/consilium_core/tests/test_notification_templates.py</t>
        </is>
      </c>
    </row>
    <row r="1229" ht="30" customHeight="1">
      <c r="A1229" s="2" t="inlineStr">
        <is>
          <t>E-17</t>
        </is>
      </c>
      <c r="B1229" s="3" t="inlineStr">
        <is>
          <t>ESC</t>
        </is>
      </c>
      <c r="C1229" s="3" t="inlineStr">
        <is>
          <t>consilium_core.tests.test_notification_templates</t>
        </is>
      </c>
      <c r="D1229" s="3" t="inlineStr">
        <is>
          <t>TestTemplateFailures</t>
        </is>
      </c>
      <c r="E1229" s="3" t="inlineStr">
        <is>
          <t>test_a_template_that_fails_to_render_falls_back_and_is_logged</t>
        </is>
      </c>
      <c r="F1229" s="3" t="inlineStr">
        <is>
          <t>whole class</t>
        </is>
      </c>
      <c r="G1229" s="2" t="n">
        <v>5</v>
      </c>
      <c r="H1229" s="2" t="n">
        <v>5</v>
      </c>
      <c r="I1229" s="3" t="inlineStr">
        <is>
          <t>consilium/consilium_core/tests/test_notification_templates.py</t>
        </is>
      </c>
    </row>
    <row r="1230" ht="30" customHeight="1">
      <c r="A1230" s="2" t="inlineStr">
        <is>
          <t>E-17</t>
        </is>
      </c>
      <c r="B1230" s="3" t="inlineStr">
        <is>
          <t>ESC</t>
        </is>
      </c>
      <c r="C1230" s="3" t="inlineStr">
        <is>
          <t>consilium_core.tests.test_notification_templates</t>
        </is>
      </c>
      <c r="D1230" s="3" t="inlineStr">
        <is>
          <t>TestTemplateFailures</t>
        </is>
      </c>
      <c r="E1230" s="3" t="inlineStr">
        <is>
          <t>test_a_broken_template_does_not_stop_the_next_recipient_or_event</t>
        </is>
      </c>
      <c r="F1230" s="3" t="inlineStr">
        <is>
          <t>whole class</t>
        </is>
      </c>
      <c r="G1230" s="2" t="n">
        <v>5</v>
      </c>
      <c r="H1230" s="2" t="n">
        <v>5</v>
      </c>
      <c r="I1230" s="3" t="inlineStr">
        <is>
          <t>consilium/consilium_core/tests/test_notification_templates.py</t>
        </is>
      </c>
    </row>
    <row r="1231" ht="30" customHeight="1">
      <c r="A1231" s="2" t="inlineStr">
        <is>
          <t>E-17</t>
        </is>
      </c>
      <c r="B1231" s="3" t="inlineStr">
        <is>
          <t>ESC</t>
        </is>
      </c>
      <c r="C1231" s="3" t="inlineStr">
        <is>
          <t>consilium_core.tests.test_notification_templates</t>
        </is>
      </c>
      <c r="D1231" s="3" t="inlineStr">
        <is>
          <t>TestTemplateFailures</t>
        </is>
      </c>
      <c r="E1231" s="3" t="inlineStr">
        <is>
          <t>test_a_dispatch_that_raises_does_not_stop_the_next_recipient</t>
        </is>
      </c>
      <c r="F1231" s="3" t="inlineStr">
        <is>
          <t>whole class</t>
        </is>
      </c>
      <c r="G1231" s="2" t="n">
        <v>5</v>
      </c>
      <c r="H1231" s="2" t="n">
        <v>5</v>
      </c>
      <c r="I1231" s="3" t="inlineStr">
        <is>
          <t>consilium/consilium_core/tests/test_notification_templates.py</t>
        </is>
      </c>
    </row>
    <row r="1232" ht="30" customHeight="1">
      <c r="A1232" s="2" t="inlineStr">
        <is>
          <t>E-17</t>
        </is>
      </c>
      <c r="B1232" s="3" t="inlineStr">
        <is>
          <t>ESC</t>
        </is>
      </c>
      <c r="C1232" s="3" t="inlineStr">
        <is>
          <t>consilium_core.tests.test_notification_templates</t>
        </is>
      </c>
      <c r="D1232" s="3" t="inlineStr">
        <is>
          <t>TestEmailRetry</t>
        </is>
      </c>
      <c r="E1232" s="3" t="inlineStr">
        <is>
          <t>test_a_message_the_mail_server_refused_is_sent_again</t>
        </is>
      </c>
      <c r="F1232" s="3" t="inlineStr">
        <is>
          <t>whole class</t>
        </is>
      </c>
      <c r="G1232" s="2" t="n">
        <v>3</v>
      </c>
      <c r="H1232" s="2" t="n">
        <v>3</v>
      </c>
      <c r="I1232" s="3" t="inlineStr">
        <is>
          <t>consilium/consilium_core/tests/test_notification_templates.py</t>
        </is>
      </c>
    </row>
    <row r="1233" ht="30" customHeight="1">
      <c r="A1233" s="2" t="inlineStr">
        <is>
          <t>E-17</t>
        </is>
      </c>
      <c r="B1233" s="3" t="inlineStr">
        <is>
          <t>ESC</t>
        </is>
      </c>
      <c r="C1233" s="3" t="inlineStr">
        <is>
          <t>consilium_core.tests.test_notification_templates</t>
        </is>
      </c>
      <c r="D1233" s="3" t="inlineStr">
        <is>
          <t>TestEmailRetry</t>
        </is>
      </c>
      <c r="E1233" s="3" t="inlineStr">
        <is>
          <t>test_queueing_that_fails_is_retried_by_the_hourly_job</t>
        </is>
      </c>
      <c r="F1233" s="3" t="inlineStr">
        <is>
          <t>whole class</t>
        </is>
      </c>
      <c r="G1233" s="2" t="n">
        <v>3</v>
      </c>
      <c r="H1233" s="2" t="n">
        <v>3</v>
      </c>
      <c r="I1233" s="3" t="inlineStr">
        <is>
          <t>consilium/consilium_core/tests/test_notification_templates.py</t>
        </is>
      </c>
    </row>
    <row r="1234" ht="30" customHeight="1">
      <c r="A1234" s="2" t="inlineStr">
        <is>
          <t>E-17</t>
        </is>
      </c>
      <c r="B1234" s="3" t="inlineStr">
        <is>
          <t>ESC</t>
        </is>
      </c>
      <c r="C1234" s="3" t="inlineStr">
        <is>
          <t>consilium_core.tests.test_notification_templates</t>
        </is>
      </c>
      <c r="D1234" s="3" t="inlineStr">
        <is>
          <t>TestEmailRetry</t>
        </is>
      </c>
      <c r="E1234" s="3" t="inlineStr">
        <is>
          <t>test_retries_stop_after_the_limit</t>
        </is>
      </c>
      <c r="F1234" s="3" t="inlineStr">
        <is>
          <t>whole class</t>
        </is>
      </c>
      <c r="G1234" s="2" t="n">
        <v>3</v>
      </c>
      <c r="H1234" s="2" t="n">
        <v>3</v>
      </c>
      <c r="I1234" s="3" t="inlineStr">
        <is>
          <t>consilium/consilium_core/tests/test_notification_templates.py</t>
        </is>
      </c>
    </row>
    <row r="1235" ht="30" customHeight="1">
      <c r="A1235" s="2" t="inlineStr">
        <is>
          <t>E-17</t>
        </is>
      </c>
      <c r="B1235" s="3" t="inlineStr">
        <is>
          <t>ESC</t>
        </is>
      </c>
      <c r="C1235" s="3" t="inlineStr">
        <is>
          <t>consilium_core.tests.test_notification_templates</t>
        </is>
      </c>
      <c r="D1235" s="3" t="inlineStr">
        <is>
          <t>TestSeeding</t>
        </is>
      </c>
      <c r="E1235" s="3" t="inlineStr">
        <is>
          <t>test_every_event_the_application_raises_has_a_template</t>
        </is>
      </c>
      <c r="F1235" s="3" t="inlineStr">
        <is>
          <t>whole class</t>
        </is>
      </c>
      <c r="G1235" s="2" t="n">
        <v>2</v>
      </c>
      <c r="H1235" s="2" t="n">
        <v>2</v>
      </c>
      <c r="I1235" s="3" t="inlineStr">
        <is>
          <t>consilium/consilium_core/tests/test_notification_templates.py</t>
        </is>
      </c>
    </row>
    <row r="1236" ht="30" customHeight="1">
      <c r="A1236" s="2" t="inlineStr">
        <is>
          <t>E-17</t>
        </is>
      </c>
      <c r="B1236" s="3" t="inlineStr">
        <is>
          <t>ESC</t>
        </is>
      </c>
      <c r="C1236" s="3" t="inlineStr">
        <is>
          <t>consilium_core.tests.test_notification_templates</t>
        </is>
      </c>
      <c r="D1236" s="3" t="inlineStr">
        <is>
          <t>TestSeeding</t>
        </is>
      </c>
      <c r="E1236" s="3" t="inlineStr">
        <is>
          <t>test_seeding_twice_changes_nothing_and_keeps_an_administrators_wording</t>
        </is>
      </c>
      <c r="F1236" s="3" t="inlineStr">
        <is>
          <t>whole class</t>
        </is>
      </c>
      <c r="G1236" s="2" t="n">
        <v>2</v>
      </c>
      <c r="H1236" s="2" t="n">
        <v>2</v>
      </c>
      <c r="I1236" s="3" t="inlineStr">
        <is>
          <t>consilium/consilium_core/tests/test_notification_templates.py</t>
        </is>
      </c>
    </row>
    <row r="1237" ht="17" customHeight="1">
      <c r="A1237" s="2" t="inlineStr">
        <is>
          <t>E-17</t>
        </is>
      </c>
      <c r="B1237" s="3" t="inlineStr">
        <is>
          <t>ESC</t>
        </is>
      </c>
      <c r="C1237" s="3" t="inlineStr">
        <is>
          <t>consilium_core.tests.test_graph_mail</t>
        </is>
      </c>
      <c r="D1237" s="3" t="inlineStr">
        <is>
          <t>TestTheWire</t>
        </is>
      </c>
      <c r="E1237" s="3" t="inlineStr">
        <is>
          <t>test_a_token_then_the_message</t>
        </is>
      </c>
      <c r="F1237" s="3" t="inlineStr">
        <is>
          <t>whole class</t>
        </is>
      </c>
      <c r="G1237" s="2" t="n">
        <v>8</v>
      </c>
      <c r="H1237" s="2" t="n">
        <v>8</v>
      </c>
      <c r="I1237" s="3" t="inlineStr">
        <is>
          <t>consilium/consilium_core/tests/test_graph_mail.py</t>
        </is>
      </c>
    </row>
    <row r="1238" ht="17" customHeight="1">
      <c r="A1238" s="2" t="inlineStr">
        <is>
          <t>E-17</t>
        </is>
      </c>
      <c r="B1238" s="3" t="inlineStr">
        <is>
          <t>ESC</t>
        </is>
      </c>
      <c r="C1238" s="3" t="inlineStr">
        <is>
          <t>consilium_core.tests.test_graph_mail</t>
        </is>
      </c>
      <c r="D1238" s="3" t="inlineStr">
        <is>
          <t>TestTheWire</t>
        </is>
      </c>
      <c r="E1238" s="3" t="inlineStr">
        <is>
          <t>test_the_token_is_reused_until_it_expires</t>
        </is>
      </c>
      <c r="F1238" s="3" t="inlineStr">
        <is>
          <t>whole class</t>
        </is>
      </c>
      <c r="G1238" s="2" t="n">
        <v>8</v>
      </c>
      <c r="H1238" s="2" t="n">
        <v>8</v>
      </c>
      <c r="I1238" s="3" t="inlineStr">
        <is>
          <t>consilium/consilium_core/tests/test_graph_mail.py</t>
        </is>
      </c>
    </row>
    <row r="1239" ht="17" customHeight="1">
      <c r="A1239" s="2" t="inlineStr">
        <is>
          <t>E-17</t>
        </is>
      </c>
      <c r="B1239" s="3" t="inlineStr">
        <is>
          <t>ESC</t>
        </is>
      </c>
      <c r="C1239" s="3" t="inlineStr">
        <is>
          <t>consilium_core.tests.test_graph_mail</t>
        </is>
      </c>
      <c r="D1239" s="3" t="inlineStr">
        <is>
          <t>TestTheWire</t>
        </is>
      </c>
      <c r="E1239" s="3" t="inlineStr">
        <is>
          <t>test_a_401_gets_a_new_token_once</t>
        </is>
      </c>
      <c r="F1239" s="3" t="inlineStr">
        <is>
          <t>whole class</t>
        </is>
      </c>
      <c r="G1239" s="2" t="n">
        <v>8</v>
      </c>
      <c r="H1239" s="2" t="n">
        <v>8</v>
      </c>
      <c r="I1239" s="3" t="inlineStr">
        <is>
          <t>consilium/consilium_core/tests/test_graph_mail.py</t>
        </is>
      </c>
    </row>
    <row r="1240" ht="17" customHeight="1">
      <c r="A1240" s="2" t="inlineStr">
        <is>
          <t>E-17</t>
        </is>
      </c>
      <c r="B1240" s="3" t="inlineStr">
        <is>
          <t>ESC</t>
        </is>
      </c>
      <c r="C1240" s="3" t="inlineStr">
        <is>
          <t>consilium_core.tests.test_graph_mail</t>
        </is>
      </c>
      <c r="D1240" s="3" t="inlineStr">
        <is>
          <t>TestTheWire</t>
        </is>
      </c>
      <c r="E1240" s="3" t="inlineStr">
        <is>
          <t>test_a_second_401_is_a_failure_not_a_loop</t>
        </is>
      </c>
      <c r="F1240" s="3" t="inlineStr">
        <is>
          <t>whole class</t>
        </is>
      </c>
      <c r="G1240" s="2" t="n">
        <v>8</v>
      </c>
      <c r="H1240" s="2" t="n">
        <v>8</v>
      </c>
      <c r="I1240" s="3" t="inlineStr">
        <is>
          <t>consilium/consilium_core/tests/test_graph_mail.py</t>
        </is>
      </c>
    </row>
    <row r="1241" ht="17" customHeight="1">
      <c r="A1241" s="2" t="inlineStr">
        <is>
          <t>E-17</t>
        </is>
      </c>
      <c r="B1241" s="3" t="inlineStr">
        <is>
          <t>ESC</t>
        </is>
      </c>
      <c r="C1241" s="3" t="inlineStr">
        <is>
          <t>consilium_core.tests.test_graph_mail</t>
        </is>
      </c>
      <c r="D1241" s="3" t="inlineStr">
        <is>
          <t>TestTheWire</t>
        </is>
      </c>
      <c r="E1241" s="3" t="inlineStr">
        <is>
          <t>test_throttling_is_waited_out</t>
        </is>
      </c>
      <c r="F1241" s="3" t="inlineStr">
        <is>
          <t>whole class</t>
        </is>
      </c>
      <c r="G1241" s="2" t="n">
        <v>8</v>
      </c>
      <c r="H1241" s="2" t="n">
        <v>8</v>
      </c>
      <c r="I1241" s="3" t="inlineStr">
        <is>
          <t>consilium/consilium_core/tests/test_graph_mail.py</t>
        </is>
      </c>
    </row>
    <row r="1242" ht="30" customHeight="1">
      <c r="A1242" s="2" t="inlineStr">
        <is>
          <t>E-17</t>
        </is>
      </c>
      <c r="B1242" s="3" t="inlineStr">
        <is>
          <t>ESC</t>
        </is>
      </c>
      <c r="C1242" s="3" t="inlineStr">
        <is>
          <t>consilium_core.tests.test_graph_mail</t>
        </is>
      </c>
      <c r="D1242" s="3" t="inlineStr">
        <is>
          <t>TestTheWire</t>
        </is>
      </c>
      <c r="E1242" s="3" t="inlineStr">
        <is>
          <t>test_throttling_gives_up_after_the_notification_retry_limit</t>
        </is>
      </c>
      <c r="F1242" s="3" t="inlineStr">
        <is>
          <t>whole class</t>
        </is>
      </c>
      <c r="G1242" s="2" t="n">
        <v>8</v>
      </c>
      <c r="H1242" s="2" t="n">
        <v>8</v>
      </c>
      <c r="I1242" s="3" t="inlineStr">
        <is>
          <t>consilium/consilium_core/tests/test_graph_mail.py</t>
        </is>
      </c>
    </row>
    <row r="1243" ht="17" customHeight="1">
      <c r="A1243" s="2" t="inlineStr">
        <is>
          <t>E-17</t>
        </is>
      </c>
      <c r="B1243" s="3" t="inlineStr">
        <is>
          <t>ESC</t>
        </is>
      </c>
      <c r="C1243" s="3" t="inlineStr">
        <is>
          <t>consilium_core.tests.test_graph_mail</t>
        </is>
      </c>
      <c r="D1243" s="3" t="inlineStr">
        <is>
          <t>TestTheWire</t>
        </is>
      </c>
      <c r="E1243" s="3" t="inlineStr">
        <is>
          <t>test_a_stall_is_a_timeout_and_is_not_resent_at_once</t>
        </is>
      </c>
      <c r="F1243" s="3" t="inlineStr">
        <is>
          <t>whole class</t>
        </is>
      </c>
      <c r="G1243" s="2" t="n">
        <v>8</v>
      </c>
      <c r="H1243" s="2" t="n">
        <v>8</v>
      </c>
      <c r="I1243" s="3" t="inlineStr">
        <is>
          <t>consilium/consilium_core/tests/test_graph_mail.py</t>
        </is>
      </c>
    </row>
    <row r="1244" ht="17" customHeight="1">
      <c r="A1244" s="2" t="inlineStr">
        <is>
          <t>E-17</t>
        </is>
      </c>
      <c r="B1244" s="3" t="inlineStr">
        <is>
          <t>ESC</t>
        </is>
      </c>
      <c r="C1244" s="3" t="inlineStr">
        <is>
          <t>consilium_core.tests.test_graph_mail</t>
        </is>
      </c>
      <c r="D1244" s="3" t="inlineStr">
        <is>
          <t>TestTheWire</t>
        </is>
      </c>
      <c r="E1244" s="3" t="inlineStr">
        <is>
          <t>test_a_refused_application_says_why</t>
        </is>
      </c>
      <c r="F1244" s="3" t="inlineStr">
        <is>
          <t>whole class</t>
        </is>
      </c>
      <c r="G1244" s="2" t="n">
        <v>8</v>
      </c>
      <c r="H1244" s="2" t="n">
        <v>8</v>
      </c>
      <c r="I1244" s="3" t="inlineStr">
        <is>
          <t>consilium/consilium_core/tests/test_graph_mail.py</t>
        </is>
      </c>
    </row>
    <row r="1245" ht="17" customHeight="1">
      <c r="A1245" s="2" t="inlineStr">
        <is>
          <t>E-17</t>
        </is>
      </c>
      <c r="B1245" s="3" t="inlineStr">
        <is>
          <t>ESC</t>
        </is>
      </c>
      <c r="C1245" s="3" t="inlineStr">
        <is>
          <t>consilium_core.tests.test_graph_mail</t>
        </is>
      </c>
      <c r="D1245" s="3" t="inlineStr">
        <is>
          <t>TestTheDispatchRecord</t>
        </is>
      </c>
      <c r="E1245" s="3" t="inlineStr">
        <is>
          <t>test_a_notification_through_graph_is_recorded_as_sent</t>
        </is>
      </c>
      <c r="F1245" s="3" t="inlineStr">
        <is>
          <t>whole class</t>
        </is>
      </c>
      <c r="G1245" s="2" t="n">
        <v>7</v>
      </c>
      <c r="H1245" s="2" t="n">
        <v>7</v>
      </c>
      <c r="I1245" s="3" t="inlineStr">
        <is>
          <t>consilium/consilium_core/tests/test_graph_mail.py</t>
        </is>
      </c>
    </row>
    <row r="1246" ht="17" customHeight="1">
      <c r="A1246" s="2" t="inlineStr">
        <is>
          <t>E-17</t>
        </is>
      </c>
      <c r="B1246" s="3" t="inlineStr">
        <is>
          <t>ESC</t>
        </is>
      </c>
      <c r="C1246" s="3" t="inlineStr">
        <is>
          <t>consilium_core.tests.test_graph_mail</t>
        </is>
      </c>
      <c r="D1246" s="3" t="inlineStr">
        <is>
          <t>TestTheDispatchRecord</t>
        </is>
      </c>
      <c r="E1246" s="3" t="inlineStr">
        <is>
          <t>test_a_failure_stays_open_and_the_hourly_retry_sends_it</t>
        </is>
      </c>
      <c r="F1246" s="3" t="inlineStr">
        <is>
          <t>whole class</t>
        </is>
      </c>
      <c r="G1246" s="2" t="n">
        <v>7</v>
      </c>
      <c r="H1246" s="2" t="n">
        <v>7</v>
      </c>
      <c r="I1246" s="3" t="inlineStr">
        <is>
          <t>consilium/consilium_core/tests/test_graph_mail.py</t>
        </is>
      </c>
    </row>
    <row r="1247" ht="17" customHeight="1">
      <c r="A1247" s="2" t="inlineStr">
        <is>
          <t>E-17</t>
        </is>
      </c>
      <c r="B1247" s="3" t="inlineStr">
        <is>
          <t>ESC</t>
        </is>
      </c>
      <c r="C1247" s="3" t="inlineStr">
        <is>
          <t>consilium_core.tests.test_graph_mail</t>
        </is>
      </c>
      <c r="D1247" s="3" t="inlineStr">
        <is>
          <t>TestTheDispatchRecord</t>
        </is>
      </c>
      <c r="E1247" s="3" t="inlineStr">
        <is>
          <t>test_a_timeout_is_recorded_on_the_dispatch</t>
        </is>
      </c>
      <c r="F1247" s="3" t="inlineStr">
        <is>
          <t>whole class</t>
        </is>
      </c>
      <c r="G1247" s="2" t="n">
        <v>7</v>
      </c>
      <c r="H1247" s="2" t="n">
        <v>7</v>
      </c>
      <c r="I1247" s="3" t="inlineStr">
        <is>
          <t>consilium/consilium_core/tests/test_graph_mail.py</t>
        </is>
      </c>
    </row>
    <row r="1248" ht="17" customHeight="1">
      <c r="A1248" s="2" t="inlineStr">
        <is>
          <t>E-17</t>
        </is>
      </c>
      <c r="B1248" s="3" t="inlineStr">
        <is>
          <t>ESC</t>
        </is>
      </c>
      <c r="C1248" s="3" t="inlineStr">
        <is>
          <t>consilium_core.tests.test_graph_mail</t>
        </is>
      </c>
      <c r="D1248" s="3" t="inlineStr">
        <is>
          <t>TestTheDispatchRecord</t>
        </is>
      </c>
      <c r="E1248" s="3" t="inlineStr">
        <is>
          <t>test_throttling_then_success_is_one_sent_dispatch</t>
        </is>
      </c>
      <c r="F1248" s="3" t="inlineStr">
        <is>
          <t>whole class</t>
        </is>
      </c>
      <c r="G1248" s="2" t="n">
        <v>7</v>
      </c>
      <c r="H1248" s="2" t="n">
        <v>7</v>
      </c>
      <c r="I1248" s="3" t="inlineStr">
        <is>
          <t>consilium/consilium_core/tests/test_graph_mail.py</t>
        </is>
      </c>
    </row>
    <row r="1249" ht="17" customHeight="1">
      <c r="A1249" s="2" t="inlineStr">
        <is>
          <t>E-17</t>
        </is>
      </c>
      <c r="B1249" s="3" t="inlineStr">
        <is>
          <t>ESC</t>
        </is>
      </c>
      <c r="C1249" s="3" t="inlineStr">
        <is>
          <t>consilium_core.tests.test_graph_mail</t>
        </is>
      </c>
      <c r="D1249" s="3" t="inlineStr">
        <is>
          <t>TestTheDispatchRecord</t>
        </is>
      </c>
      <c r="E1249" s="3" t="inlineStr">
        <is>
          <t>test_an_incomplete_graph_route_hands_on_to_the_fallback</t>
        </is>
      </c>
      <c r="F1249" s="3" t="inlineStr">
        <is>
          <t>whole class</t>
        </is>
      </c>
      <c r="G1249" s="2" t="n">
        <v>7</v>
      </c>
      <c r="H1249" s="2" t="n">
        <v>7</v>
      </c>
      <c r="I1249" s="3" t="inlineStr">
        <is>
          <t>consilium/consilium_core/tests/test_graph_mail.py</t>
        </is>
      </c>
    </row>
    <row r="1250" ht="17" customHeight="1">
      <c r="A1250" s="2" t="inlineStr">
        <is>
          <t>E-17</t>
        </is>
      </c>
      <c r="B1250" s="3" t="inlineStr">
        <is>
          <t>ESC</t>
        </is>
      </c>
      <c r="C1250" s="3" t="inlineStr">
        <is>
          <t>consilium_core.tests.test_graph_mail</t>
        </is>
      </c>
      <c r="D1250" s="3" t="inlineStr">
        <is>
          <t>TestTheDispatchRecord</t>
        </is>
      </c>
      <c r="E1250" s="3" t="inlineStr">
        <is>
          <t>test_inside_a_web_request_the_send_goes_to_the_queue</t>
        </is>
      </c>
      <c r="F1250" s="3" t="inlineStr">
        <is>
          <t>whole class</t>
        </is>
      </c>
      <c r="G1250" s="2" t="n">
        <v>7</v>
      </c>
      <c r="H1250" s="2" t="n">
        <v>7</v>
      </c>
      <c r="I1250" s="3" t="inlineStr">
        <is>
          <t>consilium/consilium_core/tests/test_graph_mail.py</t>
        </is>
      </c>
    </row>
    <row r="1251" ht="17" customHeight="1">
      <c r="A1251" s="2" t="inlineStr">
        <is>
          <t>E-17</t>
        </is>
      </c>
      <c r="B1251" s="3" t="inlineStr">
        <is>
          <t>ESC</t>
        </is>
      </c>
      <c r="C1251" s="3" t="inlineStr">
        <is>
          <t>consilium_core.tests.test_graph_mail</t>
        </is>
      </c>
      <c r="D1251" s="3" t="inlineStr">
        <is>
          <t>TestTheDispatchRecord</t>
        </is>
      </c>
      <c r="E1251" s="3" t="inlineStr">
        <is>
          <t>test_smtp_stays_the_default_route</t>
        </is>
      </c>
      <c r="F1251" s="3" t="inlineStr">
        <is>
          <t>whole class</t>
        </is>
      </c>
      <c r="G1251" s="2" t="n">
        <v>7</v>
      </c>
      <c r="H1251" s="2" t="n">
        <v>7</v>
      </c>
      <c r="I1251" s="3" t="inlineStr">
        <is>
          <t>consilium/consilium_core/tests/test_graph_mail.py</t>
        </is>
      </c>
    </row>
    <row r="1252" ht="17" customHeight="1">
      <c r="A1252" s="2" t="inlineStr">
        <is>
          <t>E-17</t>
        </is>
      </c>
      <c r="B1252" s="3" t="inlineStr">
        <is>
          <t>ESC</t>
        </is>
      </c>
      <c r="C1252" s="3" t="inlineStr">
        <is>
          <t>consilium_core.tests.test_graph_mail</t>
        </is>
      </c>
      <c r="D1252" s="3" t="inlineStr">
        <is>
          <t>TestTheSettings</t>
        </is>
      </c>
      <c r="E1252" s="3" t="inlineStr">
        <is>
          <t>test_graph_cannot_be_chosen_half_configured</t>
        </is>
      </c>
      <c r="F1252" s="3" t="inlineStr">
        <is>
          <t>whole class</t>
        </is>
      </c>
      <c r="G1252" s="2" t="n">
        <v>5</v>
      </c>
      <c r="H1252" s="2" t="n">
        <v>5</v>
      </c>
      <c r="I1252" s="3" t="inlineStr">
        <is>
          <t>consilium/consilium_core/tests/test_graph_mail.py</t>
        </is>
      </c>
    </row>
    <row r="1253" ht="17" customHeight="1">
      <c r="A1253" s="2" t="inlineStr">
        <is>
          <t>E-17</t>
        </is>
      </c>
      <c r="B1253" s="3" t="inlineStr">
        <is>
          <t>ESC</t>
        </is>
      </c>
      <c r="C1253" s="3" t="inlineStr">
        <is>
          <t>consilium_core.tests.test_graph_mail</t>
        </is>
      </c>
      <c r="D1253" s="3" t="inlineStr">
        <is>
          <t>TestTheSettings</t>
        </is>
      </c>
      <c r="E1253" s="3" t="inlineStr">
        <is>
          <t>test_a_plain_http_address_is_refused_except_on_loopback</t>
        </is>
      </c>
      <c r="F1253" s="3" t="inlineStr">
        <is>
          <t>whole class</t>
        </is>
      </c>
      <c r="G1253" s="2" t="n">
        <v>5</v>
      </c>
      <c r="H1253" s="2" t="n">
        <v>5</v>
      </c>
      <c r="I1253" s="3" t="inlineStr">
        <is>
          <t>consilium/consilium_core/tests/test_graph_mail.py</t>
        </is>
      </c>
    </row>
    <row r="1254" ht="17" customHeight="1">
      <c r="A1254" s="2" t="inlineStr">
        <is>
          <t>E-17</t>
        </is>
      </c>
      <c r="B1254" s="3" t="inlineStr">
        <is>
          <t>ESC</t>
        </is>
      </c>
      <c r="C1254" s="3" t="inlineStr">
        <is>
          <t>consilium_core.tests.test_graph_mail</t>
        </is>
      </c>
      <c r="D1254" s="3" t="inlineStr">
        <is>
          <t>TestTheSettings</t>
        </is>
      </c>
      <c r="E1254" s="3" t="inlineStr">
        <is>
          <t>test_a_script_address_is_refused_and_audited</t>
        </is>
      </c>
      <c r="F1254" s="3" t="inlineStr">
        <is>
          <t>whole class</t>
        </is>
      </c>
      <c r="G1254" s="2" t="n">
        <v>5</v>
      </c>
      <c r="H1254" s="2" t="n">
        <v>5</v>
      </c>
      <c r="I1254" s="3" t="inlineStr">
        <is>
          <t>consilium/consilium_core/tests/test_graph_mail.py</t>
        </is>
      </c>
    </row>
    <row r="1255" ht="17" customHeight="1">
      <c r="A1255" s="2" t="inlineStr">
        <is>
          <t>E-17</t>
        </is>
      </c>
      <c r="B1255" s="3" t="inlineStr">
        <is>
          <t>ESC</t>
        </is>
      </c>
      <c r="C1255" s="3" t="inlineStr">
        <is>
          <t>consilium_core.tests.test_graph_mail</t>
        </is>
      </c>
      <c r="D1255" s="3" t="inlineStr">
        <is>
          <t>TestTheSettings</t>
        </is>
      </c>
      <c r="E1255" s="3" t="inlineStr">
        <is>
          <t>test_a_tenant_cannot_change_the_request_path</t>
        </is>
      </c>
      <c r="F1255" s="3" t="inlineStr">
        <is>
          <t>whole class</t>
        </is>
      </c>
      <c r="G1255" s="2" t="n">
        <v>5</v>
      </c>
      <c r="H1255" s="2" t="n">
        <v>5</v>
      </c>
      <c r="I1255" s="3" t="inlineStr">
        <is>
          <t>consilium/consilium_core/tests/test_graph_mail.py</t>
        </is>
      </c>
    </row>
    <row r="1256" ht="17" customHeight="1">
      <c r="A1256" s="2" t="inlineStr">
        <is>
          <t>E-17</t>
        </is>
      </c>
      <c r="B1256" s="3" t="inlineStr">
        <is>
          <t>ESC</t>
        </is>
      </c>
      <c r="C1256" s="3" t="inlineStr">
        <is>
          <t>consilium_core.tests.test_graph_mail</t>
        </is>
      </c>
      <c r="D1256" s="3" t="inlineStr">
        <is>
          <t>TestTheSettings</t>
        </is>
      </c>
      <c r="E1256" s="3" t="inlineStr">
        <is>
          <t>test_sovereign_cloud_addresses_are_used_as_given</t>
        </is>
      </c>
      <c r="F1256" s="3" t="inlineStr">
        <is>
          <t>whole class</t>
        </is>
      </c>
      <c r="G1256" s="2" t="n">
        <v>5</v>
      </c>
      <c r="H1256" s="2" t="n">
        <v>5</v>
      </c>
      <c r="I1256" s="3" t="inlineStr">
        <is>
          <t>consilium/consilium_core/tests/test_graph_mail.py</t>
        </is>
      </c>
    </row>
    <row r="1257" ht="30" customHeight="1">
      <c r="A1257" s="2" t="inlineStr">
        <is>
          <t>E-17</t>
        </is>
      </c>
      <c r="B1257" s="3" t="inlineStr">
        <is>
          <t>ESC</t>
        </is>
      </c>
      <c r="C1257" s="3" t="inlineStr">
        <is>
          <t>escalation.tests.test_assignment_and_timing</t>
        </is>
      </c>
      <c r="D1257" s="3" t="inlineStr">
        <is>
          <t>TestAssignmentByGroup</t>
        </is>
      </c>
      <c r="E1257" s="3" t="inlineStr">
        <is>
          <t>test_the_queue_is_told_when_the_matter_enters_it</t>
        </is>
      </c>
      <c r="F1257" s="3" t="inlineStr">
        <is>
          <t>named method</t>
        </is>
      </c>
      <c r="G1257" s="2" t="n"/>
      <c r="H1257" s="2" t="n">
        <v>1</v>
      </c>
      <c r="I1257" s="3" t="inlineStr">
        <is>
          <t>consilium/escalation/tests/test_assignment_and_timing.py</t>
        </is>
      </c>
    </row>
    <row r="1258" ht="17" customHeight="1">
      <c r="A1258" s="2" t="inlineStr">
        <is>
          <t>E-17</t>
        </is>
      </c>
      <c r="B1258" s="3" t="inlineStr">
        <is>
          <t>ESC</t>
        </is>
      </c>
      <c r="C1258" s="3" t="inlineStr">
        <is>
          <t>escalation.tests.test_participants</t>
        </is>
      </c>
      <c r="D1258" s="3" t="inlineStr">
        <is>
          <t>TestPathwayParticipants</t>
        </is>
      </c>
      <c r="E1258" s="3" t="inlineStr">
        <is>
          <t>test_a_breach_reaches_the_pathway_forums_people</t>
        </is>
      </c>
      <c r="F1258" s="3" t="inlineStr">
        <is>
          <t>named method</t>
        </is>
      </c>
      <c r="G1258" s="2" t="n"/>
      <c r="H1258" s="2" t="n">
        <v>1</v>
      </c>
      <c r="I1258" s="3" t="inlineStr">
        <is>
          <t>consilium/escalation/tests/test_participants.py</t>
        </is>
      </c>
    </row>
    <row r="1259" ht="17" customHeight="1">
      <c r="A1259" s="2" t="inlineStr">
        <is>
          <t>E-18</t>
        </is>
      </c>
      <c r="B1259" s="3" t="inlineStr">
        <is>
          <t>ESC</t>
        </is>
      </c>
      <c r="C1259" s="3" t="inlineStr">
        <is>
          <t>consilium_core.tests.test_retention</t>
        </is>
      </c>
      <c r="D1259" s="3" t="inlineStr">
        <is>
          <t>TestRetention</t>
        </is>
      </c>
      <c r="E1259" s="3" t="inlineStr">
        <is>
          <t>test_a_retained_record_cannot_be_modified</t>
        </is>
      </c>
      <c r="F1259" s="3" t="inlineStr">
        <is>
          <t>whole class</t>
        </is>
      </c>
      <c r="G1259" s="2" t="n">
        <v>14</v>
      </c>
      <c r="H1259" s="2" t="n">
        <v>14</v>
      </c>
      <c r="I1259" s="3" t="inlineStr">
        <is>
          <t>consilium/consilium_core/tests/test_retention.py</t>
        </is>
      </c>
    </row>
    <row r="1260" ht="17" customHeight="1">
      <c r="A1260" s="2" t="inlineStr">
        <is>
          <t>E-18</t>
        </is>
      </c>
      <c r="B1260" s="3" t="inlineStr">
        <is>
          <t>ESC</t>
        </is>
      </c>
      <c r="C1260" s="3" t="inlineStr">
        <is>
          <t>consilium_core.tests.test_retention</t>
        </is>
      </c>
      <c r="D1260" s="3" t="inlineStr">
        <is>
          <t>TestRetention</t>
        </is>
      </c>
      <c r="E1260" s="3" t="inlineStr">
        <is>
          <t>test_a_retained_record_cannot_be_deleted</t>
        </is>
      </c>
      <c r="F1260" s="3" t="inlineStr">
        <is>
          <t>whole class</t>
        </is>
      </c>
      <c r="G1260" s="2" t="n">
        <v>14</v>
      </c>
      <c r="H1260" s="2" t="n">
        <v>14</v>
      </c>
      <c r="I1260" s="3" t="inlineStr">
        <is>
          <t>consilium/consilium_core/tests/test_retention.py</t>
        </is>
      </c>
    </row>
    <row r="1261" ht="17" customHeight="1">
      <c r="A1261" s="2" t="inlineStr">
        <is>
          <t>E-18</t>
        </is>
      </c>
      <c r="B1261" s="3" t="inlineStr">
        <is>
          <t>ESC</t>
        </is>
      </c>
      <c r="C1261" s="3" t="inlineStr">
        <is>
          <t>consilium_core.tests.test_retention</t>
        </is>
      </c>
      <c r="D1261" s="3" t="inlineStr">
        <is>
          <t>TestRetention</t>
        </is>
      </c>
      <c r="E1261" s="3" t="inlineStr">
        <is>
          <t>test_a_record_outside_the_assignment_is_untouched</t>
        </is>
      </c>
      <c r="F1261" s="3" t="inlineStr">
        <is>
          <t>whole class</t>
        </is>
      </c>
      <c r="G1261" s="2" t="n">
        <v>14</v>
      </c>
      <c r="H1261" s="2" t="n">
        <v>14</v>
      </c>
      <c r="I1261" s="3" t="inlineStr">
        <is>
          <t>consilium/consilium_core/tests/test_retention.py</t>
        </is>
      </c>
    </row>
    <row r="1262" ht="17" customHeight="1">
      <c r="A1262" s="2" t="inlineStr">
        <is>
          <t>E-18</t>
        </is>
      </c>
      <c r="B1262" s="3" t="inlineStr">
        <is>
          <t>ESC</t>
        </is>
      </c>
      <c r="C1262" s="3" t="inlineStr">
        <is>
          <t>consilium_core.tests.test_retention</t>
        </is>
      </c>
      <c r="D1262" s="3" t="inlineStr">
        <is>
          <t>TestRetention</t>
        </is>
      </c>
      <c r="E1262" s="3" t="inlineStr">
        <is>
          <t>test_a_class_without_worm_does_not_freeze_the_record</t>
        </is>
      </c>
      <c r="F1262" s="3" t="inlineStr">
        <is>
          <t>whole class</t>
        </is>
      </c>
      <c r="G1262" s="2" t="n">
        <v>14</v>
      </c>
      <c r="H1262" s="2" t="n">
        <v>14</v>
      </c>
      <c r="I1262" s="3" t="inlineStr">
        <is>
          <t>consilium/consilium_core/tests/test_retention.py</t>
        </is>
      </c>
    </row>
    <row r="1263" ht="17" customHeight="1">
      <c r="A1263" s="2" t="inlineStr">
        <is>
          <t>E-18</t>
        </is>
      </c>
      <c r="B1263" s="3" t="inlineStr">
        <is>
          <t>ESC</t>
        </is>
      </c>
      <c r="C1263" s="3" t="inlineStr">
        <is>
          <t>consilium_core.tests.test_retention</t>
        </is>
      </c>
      <c r="D1263" s="3" t="inlineStr">
        <is>
          <t>TestRetention</t>
        </is>
      </c>
      <c r="E1263" s="3" t="inlineStr">
        <is>
          <t>test_the_most_specific_assignment_wins</t>
        </is>
      </c>
      <c r="F1263" s="3" t="inlineStr">
        <is>
          <t>whole class</t>
        </is>
      </c>
      <c r="G1263" s="2" t="n">
        <v>14</v>
      </c>
      <c r="H1263" s="2" t="n">
        <v>14</v>
      </c>
      <c r="I1263" s="3" t="inlineStr">
        <is>
          <t>consilium/consilium_core/tests/test_retention.py</t>
        </is>
      </c>
    </row>
    <row r="1264" ht="30" customHeight="1">
      <c r="A1264" s="2" t="inlineStr">
        <is>
          <t>E-18</t>
        </is>
      </c>
      <c r="B1264" s="3" t="inlineStr">
        <is>
          <t>ESC</t>
        </is>
      </c>
      <c r="C1264" s="3" t="inlineStr">
        <is>
          <t>consilium_core.tests.test_retention</t>
        </is>
      </c>
      <c r="D1264" s="3" t="inlineStr">
        <is>
          <t>TestRetention</t>
        </is>
      </c>
      <c r="E1264" s="3" t="inlineStr">
        <is>
          <t>test_a_legal_hold_freezes_a_record_that_no_retention_class_covers</t>
        </is>
      </c>
      <c r="F1264" s="3" t="inlineStr">
        <is>
          <t>whole class</t>
        </is>
      </c>
      <c r="G1264" s="2" t="n">
        <v>14</v>
      </c>
      <c r="H1264" s="2" t="n">
        <v>14</v>
      </c>
      <c r="I1264" s="3" t="inlineStr">
        <is>
          <t>consilium/consilium_core/tests/test_retention.py</t>
        </is>
      </c>
    </row>
    <row r="1265" ht="17" customHeight="1">
      <c r="A1265" s="2" t="inlineStr">
        <is>
          <t>E-18</t>
        </is>
      </c>
      <c r="B1265" s="3" t="inlineStr">
        <is>
          <t>ESC</t>
        </is>
      </c>
      <c r="C1265" s="3" t="inlineStr">
        <is>
          <t>consilium_core.tests.test_retention</t>
        </is>
      </c>
      <c r="D1265" s="3" t="inlineStr">
        <is>
          <t>TestRetention</t>
        </is>
      </c>
      <c r="E1265" s="3" t="inlineStr">
        <is>
          <t>test_a_released_hold_is_not_active</t>
        </is>
      </c>
      <c r="F1265" s="3" t="inlineStr">
        <is>
          <t>whole class</t>
        </is>
      </c>
      <c r="G1265" s="2" t="n">
        <v>14</v>
      </c>
      <c r="H1265" s="2" t="n">
        <v>14</v>
      </c>
      <c r="I1265" s="3" t="inlineStr">
        <is>
          <t>consilium/consilium_core/tests/test_retention.py</t>
        </is>
      </c>
    </row>
    <row r="1266" ht="17" customHeight="1">
      <c r="A1266" s="2" t="inlineStr">
        <is>
          <t>E-18</t>
        </is>
      </c>
      <c r="B1266" s="3" t="inlineStr">
        <is>
          <t>ESC</t>
        </is>
      </c>
      <c r="C1266" s="3" t="inlineStr">
        <is>
          <t>consilium_core.tests.test_retention</t>
        </is>
      </c>
      <c r="D1266" s="3" t="inlineStr">
        <is>
          <t>TestRetention</t>
        </is>
      </c>
      <c r="E1266" s="3" t="inlineStr">
        <is>
          <t>test_a_hold_released_before_it_was_placed_is_rejected</t>
        </is>
      </c>
      <c r="F1266" s="3" t="inlineStr">
        <is>
          <t>whole class</t>
        </is>
      </c>
      <c r="G1266" s="2" t="n">
        <v>14</v>
      </c>
      <c r="H1266" s="2" t="n">
        <v>14</v>
      </c>
      <c r="I1266" s="3" t="inlineStr">
        <is>
          <t>consilium/consilium_core/tests/test_retention.py</t>
        </is>
      </c>
    </row>
    <row r="1267" ht="17" customHeight="1">
      <c r="A1267" s="2" t="inlineStr">
        <is>
          <t>E-18</t>
        </is>
      </c>
      <c r="B1267" s="3" t="inlineStr">
        <is>
          <t>ESC</t>
        </is>
      </c>
      <c r="C1267" s="3" t="inlineStr">
        <is>
          <t>consilium_core.tests.test_retention</t>
        </is>
      </c>
      <c r="D1267" s="3" t="inlineStr">
        <is>
          <t>TestRetention</t>
        </is>
      </c>
      <c r="E1267" s="3" t="inlineStr">
        <is>
          <t>test_an_archive_record_is_hash_chained_and_immutable</t>
        </is>
      </c>
      <c r="F1267" s="3" t="inlineStr">
        <is>
          <t>whole class</t>
        </is>
      </c>
      <c r="G1267" s="2" t="n">
        <v>14</v>
      </c>
      <c r="H1267" s="2" t="n">
        <v>14</v>
      </c>
      <c r="I1267" s="3" t="inlineStr">
        <is>
          <t>consilium/consilium_core/tests/test_retention.py</t>
        </is>
      </c>
    </row>
    <row r="1268" ht="17" customHeight="1">
      <c r="A1268" s="2" t="inlineStr">
        <is>
          <t>E-18</t>
        </is>
      </c>
      <c r="B1268" s="3" t="inlineStr">
        <is>
          <t>ESC</t>
        </is>
      </c>
      <c r="C1268" s="3" t="inlineStr">
        <is>
          <t>consilium_core.tests.test_retention</t>
        </is>
      </c>
      <c r="D1268" s="3" t="inlineStr">
        <is>
          <t>TestRetention</t>
        </is>
      </c>
      <c r="E1268" s="3" t="inlineStr">
        <is>
          <t>test_a_legal_hold_overrides_a_scheduled_disposal</t>
        </is>
      </c>
      <c r="F1268" s="3" t="inlineStr">
        <is>
          <t>whole class</t>
        </is>
      </c>
      <c r="G1268" s="2" t="n">
        <v>14</v>
      </c>
      <c r="H1268" s="2" t="n">
        <v>14</v>
      </c>
      <c r="I1268" s="3" t="inlineStr">
        <is>
          <t>consilium/consilium_core/tests/test_retention.py</t>
        </is>
      </c>
    </row>
    <row r="1269" ht="17" customHeight="1">
      <c r="A1269" s="2" t="inlineStr">
        <is>
          <t>E-18</t>
        </is>
      </c>
      <c r="B1269" s="3" t="inlineStr">
        <is>
          <t>ESC</t>
        </is>
      </c>
      <c r="C1269" s="3" t="inlineStr">
        <is>
          <t>consilium_core.tests.test_retention</t>
        </is>
      </c>
      <c r="D1269" s="3" t="inlineStr">
        <is>
          <t>TestRetention</t>
        </is>
      </c>
      <c r="E1269" s="3" t="inlineStr">
        <is>
          <t>test_disposal_without_an_approver_is_refused</t>
        </is>
      </c>
      <c r="F1269" s="3" t="inlineStr">
        <is>
          <t>whole class</t>
        </is>
      </c>
      <c r="G1269" s="2" t="n">
        <v>14</v>
      </c>
      <c r="H1269" s="2" t="n">
        <v>14</v>
      </c>
      <c r="I1269" s="3" t="inlineStr">
        <is>
          <t>consilium/consilium_core/tests/test_retention.py</t>
        </is>
      </c>
    </row>
    <row r="1270" ht="17" customHeight="1">
      <c r="A1270" s="2" t="inlineStr">
        <is>
          <t>E-18</t>
        </is>
      </c>
      <c r="B1270" s="3" t="inlineStr">
        <is>
          <t>ESC</t>
        </is>
      </c>
      <c r="C1270" s="3" t="inlineStr">
        <is>
          <t>consilium_core.tests.test_retention</t>
        </is>
      </c>
      <c r="D1270" s="3" t="inlineStr">
        <is>
          <t>TestRetention</t>
        </is>
      </c>
      <c r="E1270" s="3" t="inlineStr">
        <is>
          <t>test_an_approved_disposal_executes</t>
        </is>
      </c>
      <c r="F1270" s="3" t="inlineStr">
        <is>
          <t>whole class</t>
        </is>
      </c>
      <c r="G1270" s="2" t="n">
        <v>14</v>
      </c>
      <c r="H1270" s="2" t="n">
        <v>14</v>
      </c>
      <c r="I1270" s="3" t="inlineStr">
        <is>
          <t>consilium/consilium_core/tests/test_retention.py</t>
        </is>
      </c>
    </row>
    <row r="1271" ht="17" customHeight="1">
      <c r="A1271" s="2" t="inlineStr">
        <is>
          <t>E-18</t>
        </is>
      </c>
      <c r="B1271" s="3" t="inlineStr">
        <is>
          <t>ESC</t>
        </is>
      </c>
      <c r="C1271" s="3" t="inlineStr">
        <is>
          <t>consilium_core.tests.test_retention</t>
        </is>
      </c>
      <c r="D1271" s="3" t="inlineStr">
        <is>
          <t>TestRetention</t>
        </is>
      </c>
      <c r="E1271" s="3" t="inlineStr">
        <is>
          <t>test_releasing_a_hold_returns_held_events_to_the_schedule</t>
        </is>
      </c>
      <c r="F1271" s="3" t="inlineStr">
        <is>
          <t>whole class</t>
        </is>
      </c>
      <c r="G1271" s="2" t="n">
        <v>14</v>
      </c>
      <c r="H1271" s="2" t="n">
        <v>14</v>
      </c>
      <c r="I1271" s="3" t="inlineStr">
        <is>
          <t>consilium/consilium_core/tests/test_retention.py</t>
        </is>
      </c>
    </row>
    <row r="1272" ht="17" customHeight="1">
      <c r="A1272" s="2" t="inlineStr">
        <is>
          <t>E-18</t>
        </is>
      </c>
      <c r="B1272" s="3" t="inlineStr">
        <is>
          <t>ESC</t>
        </is>
      </c>
      <c r="C1272" s="3" t="inlineStr">
        <is>
          <t>consilium_core.tests.test_retention</t>
        </is>
      </c>
      <c r="D1272" s="3" t="inlineStr">
        <is>
          <t>TestRetention</t>
        </is>
      </c>
      <c r="E1272" s="3" t="inlineStr">
        <is>
          <t>test_the_due_date_comes_from_the_class_trigger</t>
        </is>
      </c>
      <c r="F1272" s="3" t="inlineStr">
        <is>
          <t>whole class</t>
        </is>
      </c>
      <c r="G1272" s="2" t="n">
        <v>14</v>
      </c>
      <c r="H1272" s="2" t="n">
        <v>14</v>
      </c>
      <c r="I1272" s="3" t="inlineStr">
        <is>
          <t>consilium/consilium_core/tests/test_retention.py</t>
        </is>
      </c>
    </row>
    <row r="1273" ht="30" customHeight="1">
      <c r="A1273" s="2" t="inlineStr">
        <is>
          <t>E-18</t>
        </is>
      </c>
      <c r="B1273" s="3" t="inlineStr">
        <is>
          <t>ESC</t>
        </is>
      </c>
      <c r="C1273" s="3" t="inlineStr">
        <is>
          <t>consilium_core.tests.test_core_controls_wave3</t>
        </is>
      </c>
      <c r="D1273" s="3" t="inlineStr">
        <is>
          <t>TestScheduledDisposalReview</t>
        </is>
      </c>
      <c r="E1273" s="3" t="inlineStr">
        <is>
          <t>test_a_record_past_its_retention_is_flagged_once_and_nothing_is_deleted</t>
        </is>
      </c>
      <c r="F1273" s="3" t="inlineStr">
        <is>
          <t>whole class</t>
        </is>
      </c>
      <c r="G1273" s="2" t="n">
        <v>5</v>
      </c>
      <c r="H1273" s="2" t="n">
        <v>5</v>
      </c>
      <c r="I1273" s="3" t="inlineStr">
        <is>
          <t>consilium/consilium_core/tests/test_core_controls_wave3.py</t>
        </is>
      </c>
    </row>
    <row r="1274" ht="30" customHeight="1">
      <c r="A1274" s="2" t="inlineStr">
        <is>
          <t>E-18</t>
        </is>
      </c>
      <c r="B1274" s="3" t="inlineStr">
        <is>
          <t>ESC</t>
        </is>
      </c>
      <c r="C1274" s="3" t="inlineStr">
        <is>
          <t>consilium_core.tests.test_core_controls_wave3</t>
        </is>
      </c>
      <c r="D1274" s="3" t="inlineStr">
        <is>
          <t>TestScheduledDisposalReview</t>
        </is>
      </c>
      <c r="E1274" s="3" t="inlineStr">
        <is>
          <t>test_a_record_still_within_retention_is_not_flagged</t>
        </is>
      </c>
      <c r="F1274" s="3" t="inlineStr">
        <is>
          <t>whole class</t>
        </is>
      </c>
      <c r="G1274" s="2" t="n">
        <v>5</v>
      </c>
      <c r="H1274" s="2" t="n">
        <v>5</v>
      </c>
      <c r="I1274" s="3" t="inlineStr">
        <is>
          <t>consilium/consilium_core/tests/test_core_controls_wave3.py</t>
        </is>
      </c>
    </row>
    <row r="1275" ht="30" customHeight="1">
      <c r="A1275" s="2" t="inlineStr">
        <is>
          <t>E-18</t>
        </is>
      </c>
      <c r="B1275" s="3" t="inlineStr">
        <is>
          <t>ESC</t>
        </is>
      </c>
      <c r="C1275" s="3" t="inlineStr">
        <is>
          <t>consilium_core.tests.test_core_controls_wave3</t>
        </is>
      </c>
      <c r="D1275" s="3" t="inlineStr">
        <is>
          <t>TestScheduledDisposalReview</t>
        </is>
      </c>
      <c r="E1275" s="3" t="inlineStr">
        <is>
          <t>test_a_held_record_is_flagged_as_held</t>
        </is>
      </c>
      <c r="F1275" s="3" t="inlineStr">
        <is>
          <t>whole class</t>
        </is>
      </c>
      <c r="G1275" s="2" t="n">
        <v>5</v>
      </c>
      <c r="H1275" s="2" t="n">
        <v>5</v>
      </c>
      <c r="I1275" s="3" t="inlineStr">
        <is>
          <t>consilium/consilium_core/tests/test_core_controls_wave3.py</t>
        </is>
      </c>
    </row>
    <row r="1276" ht="30" customHeight="1">
      <c r="A1276" s="2" t="inlineStr">
        <is>
          <t>E-18</t>
        </is>
      </c>
      <c r="B1276" s="3" t="inlineStr">
        <is>
          <t>ESC</t>
        </is>
      </c>
      <c r="C1276" s="3" t="inlineStr">
        <is>
          <t>consilium_core.tests.test_core_controls_wave3</t>
        </is>
      </c>
      <c r="D1276" s="3" t="inlineStr">
        <is>
          <t>TestScheduledDisposalReview</t>
        </is>
      </c>
      <c r="E1276" s="3" t="inlineStr">
        <is>
          <t>test_a_hold_placed_after_scheduling_holds_the_scheduled_disposal</t>
        </is>
      </c>
      <c r="F1276" s="3" t="inlineStr">
        <is>
          <t>whole class</t>
        </is>
      </c>
      <c r="G1276" s="2" t="n">
        <v>5</v>
      </c>
      <c r="H1276" s="2" t="n">
        <v>5</v>
      </c>
      <c r="I1276" s="3" t="inlineStr">
        <is>
          <t>consilium/consilium_core/tests/test_core_controls_wave3.py</t>
        </is>
      </c>
    </row>
    <row r="1277" ht="30" customHeight="1">
      <c r="A1277" s="2" t="inlineStr">
        <is>
          <t>E-18</t>
        </is>
      </c>
      <c r="B1277" s="3" t="inlineStr">
        <is>
          <t>ESC</t>
        </is>
      </c>
      <c r="C1277" s="3" t="inlineStr">
        <is>
          <t>consilium_core.tests.test_core_controls_wave3</t>
        </is>
      </c>
      <c r="D1277" s="3" t="inlineStr">
        <is>
          <t>TestScheduledDisposalReview</t>
        </is>
      </c>
      <c r="E1277" s="3" t="inlineStr">
        <is>
          <t>test_the_job_is_on_the_daily_schedule</t>
        </is>
      </c>
      <c r="F1277" s="3" t="inlineStr">
        <is>
          <t>whole class</t>
        </is>
      </c>
      <c r="G1277" s="2" t="n">
        <v>5</v>
      </c>
      <c r="H1277" s="2" t="n">
        <v>5</v>
      </c>
      <c r="I1277" s="3" t="inlineStr">
        <is>
          <t>consilium/consilium_core/tests/test_core_controls_wave3.py</t>
        </is>
      </c>
    </row>
    <row r="1278" ht="17" customHeight="1">
      <c r="A1278" s="2" t="inlineStr">
        <is>
          <t>E-19</t>
        </is>
      </c>
      <c r="B1278" s="3" t="inlineStr">
        <is>
          <t>ESC</t>
        </is>
      </c>
      <c r="C1278" s="3" t="inlineStr">
        <is>
          <t>escalation.tests.test_import_export</t>
        </is>
      </c>
      <c r="D1278" s="3" t="inlineStr">
        <is>
          <t>TestImportPath</t>
        </is>
      </c>
      <c r="E1278" s="3" t="inlineStr">
        <is>
          <t>test_a_file_of_matters_validates_and_commits</t>
        </is>
      </c>
      <c r="F1278" s="3" t="inlineStr">
        <is>
          <t>whole class</t>
        </is>
      </c>
      <c r="G1278" s="2" t="n">
        <v>4</v>
      </c>
      <c r="H1278" s="2" t="n">
        <v>4</v>
      </c>
      <c r="I1278" s="3" t="inlineStr">
        <is>
          <t>consilium/escalation/tests/test_import_export.py</t>
        </is>
      </c>
    </row>
    <row r="1279" ht="30" customHeight="1">
      <c r="A1279" s="2" t="inlineStr">
        <is>
          <t>E-19</t>
        </is>
      </c>
      <c r="B1279" s="3" t="inlineStr">
        <is>
          <t>ESC</t>
        </is>
      </c>
      <c r="C1279" s="3" t="inlineStr">
        <is>
          <t>escalation.tests.test_import_export</t>
        </is>
      </c>
      <c r="D1279" s="3" t="inlineStr">
        <is>
          <t>TestImportPath</t>
        </is>
      </c>
      <c r="E1279" s="3" t="inlineStr">
        <is>
          <t>test_a_row_missing_a_required_value_is_reported_and_not_written</t>
        </is>
      </c>
      <c r="F1279" s="3" t="inlineStr">
        <is>
          <t>whole class</t>
        </is>
      </c>
      <c r="G1279" s="2" t="n">
        <v>4</v>
      </c>
      <c r="H1279" s="2" t="n">
        <v>4</v>
      </c>
      <c r="I1279" s="3" t="inlineStr">
        <is>
          <t>consilium/escalation/tests/test_import_export.py</t>
        </is>
      </c>
    </row>
    <row r="1280" ht="17" customHeight="1">
      <c r="A1280" s="2" t="inlineStr">
        <is>
          <t>E-19</t>
        </is>
      </c>
      <c r="B1280" s="3" t="inlineStr">
        <is>
          <t>ESC</t>
        </is>
      </c>
      <c r="C1280" s="3" t="inlineStr">
        <is>
          <t>escalation.tests.test_import_export</t>
        </is>
      </c>
      <c r="D1280" s="3" t="inlineStr">
        <is>
          <t>TestImportPath</t>
        </is>
      </c>
      <c r="E1280" s="3" t="inlineStr">
        <is>
          <t>test_an_unknown_taxonomy_value_is_rejected_row_by_row</t>
        </is>
      </c>
      <c r="F1280" s="3" t="inlineStr">
        <is>
          <t>whole class</t>
        </is>
      </c>
      <c r="G1280" s="2" t="n">
        <v>4</v>
      </c>
      <c r="H1280" s="2" t="n">
        <v>4</v>
      </c>
      <c r="I1280" s="3" t="inlineStr">
        <is>
          <t>consilium/escalation/tests/test_import_export.py</t>
        </is>
      </c>
    </row>
    <row r="1281" ht="17" customHeight="1">
      <c r="A1281" s="2" t="inlineStr">
        <is>
          <t>E-19</t>
        </is>
      </c>
      <c r="B1281" s="3" t="inlineStr">
        <is>
          <t>ESC</t>
        </is>
      </c>
      <c r="C1281" s="3" t="inlineStr">
        <is>
          <t>escalation.tests.test_import_export</t>
        </is>
      </c>
      <c r="D1281" s="3" t="inlineStr">
        <is>
          <t>TestImportPath</t>
        </is>
      </c>
      <c r="E1281" s="3" t="inlineStr">
        <is>
          <t>test_records_can_be_extracted_as_a_file</t>
        </is>
      </c>
      <c r="F1281" s="3" t="inlineStr">
        <is>
          <t>whole class</t>
        </is>
      </c>
      <c r="G1281" s="2" t="n">
        <v>4</v>
      </c>
      <c r="H1281" s="2" t="n">
        <v>4</v>
      </c>
      <c r="I1281" s="3" t="inlineStr">
        <is>
          <t>consilium/escalation/tests/test_import_export.py</t>
        </is>
      </c>
    </row>
    <row r="1282" ht="30" customHeight="1">
      <c r="A1282" s="2" t="inlineStr">
        <is>
          <t>E-19</t>
        </is>
      </c>
      <c r="B1282" s="3" t="inlineStr">
        <is>
          <t>ESC</t>
        </is>
      </c>
      <c r="C1282" s="3" t="inlineStr">
        <is>
          <t>consilium_core.tests.test_imports_portal</t>
        </is>
      </c>
      <c r="D1282" s="3" t="inlineStr">
        <is>
          <t>TestReview</t>
        </is>
      </c>
      <c r="E1282" s="3" t="inlineStr">
        <is>
          <t>test_a_module_preparer_runs_before_the_commit</t>
        </is>
      </c>
      <c r="F1282" s="3" t="inlineStr">
        <is>
          <t>named method</t>
        </is>
      </c>
      <c r="G1282" s="2" t="n"/>
      <c r="H1282" s="2" t="n">
        <v>1</v>
      </c>
      <c r="I1282" s="3" t="inlineStr">
        <is>
          <t>consilium/consilium_core/tests/test_imports_portal.py</t>
        </is>
      </c>
    </row>
    <row r="1283" ht="30" customHeight="1">
      <c r="A1283" s="2" t="inlineStr">
        <is>
          <t>E-19</t>
        </is>
      </c>
      <c r="B1283" s="3" t="inlineStr">
        <is>
          <t>ESC</t>
        </is>
      </c>
      <c r="C1283" s="3" t="inlineStr">
        <is>
          <t>consilium_core.tests.test_imports_portal</t>
        </is>
      </c>
      <c r="D1283" s="3" t="inlineStr">
        <is>
          <t>TestUpload</t>
        </is>
      </c>
      <c r="E1283" s="3" t="inlineStr">
        <is>
          <t>test_an_upload_is_kept_hashed_and_validated_without_writing_anything</t>
        </is>
      </c>
      <c r="F1283" s="3" t="inlineStr">
        <is>
          <t>whole class</t>
        </is>
      </c>
      <c r="G1283" s="2" t="n">
        <v>5</v>
      </c>
      <c r="H1283" s="2" t="n">
        <v>5</v>
      </c>
      <c r="I1283" s="3" t="inlineStr">
        <is>
          <t>consilium/consilium_core/tests/test_imports_portal.py</t>
        </is>
      </c>
    </row>
    <row r="1284" ht="30" customHeight="1">
      <c r="A1284" s="2" t="inlineStr">
        <is>
          <t>E-19</t>
        </is>
      </c>
      <c r="B1284" s="3" t="inlineStr">
        <is>
          <t>ESC</t>
        </is>
      </c>
      <c r="C1284" s="3" t="inlineStr">
        <is>
          <t>consilium_core.tests.test_imports_portal</t>
        </is>
      </c>
      <c r="D1284" s="3" t="inlineStr">
        <is>
          <t>TestUpload</t>
        </is>
      </c>
      <c r="E1284" s="3" t="inlineStr">
        <is>
          <t>test_only_those_who_may_create_a_batch_may_upload</t>
        </is>
      </c>
      <c r="F1284" s="3" t="inlineStr">
        <is>
          <t>whole class</t>
        </is>
      </c>
      <c r="G1284" s="2" t="n">
        <v>5</v>
      </c>
      <c r="H1284" s="2" t="n">
        <v>5</v>
      </c>
      <c r="I1284" s="3" t="inlineStr">
        <is>
          <t>consilium/consilium_core/tests/test_imports_portal.py</t>
        </is>
      </c>
    </row>
    <row r="1285" ht="30" customHeight="1">
      <c r="A1285" s="2" t="inlineStr">
        <is>
          <t>E-19</t>
        </is>
      </c>
      <c r="B1285" s="3" t="inlineStr">
        <is>
          <t>ESC</t>
        </is>
      </c>
      <c r="C1285" s="3" t="inlineStr">
        <is>
          <t>consilium_core.tests.test_imports_portal</t>
        </is>
      </c>
      <c r="D1285" s="3" t="inlineStr">
        <is>
          <t>TestUpload</t>
        </is>
      </c>
      <c r="E1285" s="3" t="inlineStr">
        <is>
          <t>test_bad_files_are_refused</t>
        </is>
      </c>
      <c r="F1285" s="3" t="inlineStr">
        <is>
          <t>whole class</t>
        </is>
      </c>
      <c r="G1285" s="2" t="n">
        <v>5</v>
      </c>
      <c r="H1285" s="2" t="n">
        <v>5</v>
      </c>
      <c r="I1285" s="3" t="inlineStr">
        <is>
          <t>consilium/consilium_core/tests/test_imports_portal.py</t>
        </is>
      </c>
    </row>
    <row r="1286" ht="30" customHeight="1">
      <c r="A1286" s="2" t="inlineStr">
        <is>
          <t>E-19</t>
        </is>
      </c>
      <c r="B1286" s="3" t="inlineStr">
        <is>
          <t>ESC</t>
        </is>
      </c>
      <c r="C1286" s="3" t="inlineStr">
        <is>
          <t>consilium_core.tests.test_imports_portal</t>
        </is>
      </c>
      <c r="D1286" s="3" t="inlineStr">
        <is>
          <t>TestUpload</t>
        </is>
      </c>
      <c r="E1286" s="3" t="inlineStr">
        <is>
          <t>test_a_batch_level_rejection_keeps_the_batch_and_its_reason</t>
        </is>
      </c>
      <c r="F1286" s="3" t="inlineStr">
        <is>
          <t>whole class</t>
        </is>
      </c>
      <c r="G1286" s="2" t="n">
        <v>5</v>
      </c>
      <c r="H1286" s="2" t="n">
        <v>5</v>
      </c>
      <c r="I1286" s="3" t="inlineStr">
        <is>
          <t>consilium/consilium_core/tests/test_imports_portal.py</t>
        </is>
      </c>
    </row>
    <row r="1287" ht="30" customHeight="1">
      <c r="A1287" s="2" t="inlineStr">
        <is>
          <t>E-19</t>
        </is>
      </c>
      <c r="B1287" s="3" t="inlineStr">
        <is>
          <t>ESC</t>
        </is>
      </c>
      <c r="C1287" s="3" t="inlineStr">
        <is>
          <t>consilium_core.tests.test_imports_portal</t>
        </is>
      </c>
      <c r="D1287" s="3" t="inlineStr">
        <is>
          <t>TestUpload</t>
        </is>
      </c>
      <c r="E1287" s="3" t="inlineStr">
        <is>
          <t>test_the_profiles_list_says_which_columns_a_file_needs</t>
        </is>
      </c>
      <c r="F1287" s="3" t="inlineStr">
        <is>
          <t>whole class</t>
        </is>
      </c>
      <c r="G1287" s="2" t="n">
        <v>5</v>
      </c>
      <c r="H1287" s="2" t="n">
        <v>5</v>
      </c>
      <c r="I1287" s="3" t="inlineStr">
        <is>
          <t>consilium/consilium_core/tests/test_imports_portal.py</t>
        </is>
      </c>
    </row>
    <row r="1288" ht="30" customHeight="1">
      <c r="A1288" s="2" t="inlineStr">
        <is>
          <t>E-19</t>
        </is>
      </c>
      <c r="B1288" s="3" t="inlineStr">
        <is>
          <t>ESC</t>
        </is>
      </c>
      <c r="C1288" s="3" t="inlineStr">
        <is>
          <t>consilium_core.tests.test_import_pipeline</t>
        </is>
      </c>
      <c r="D1288" s="3" t="inlineStr">
        <is>
          <t>TestImportPipeline</t>
        </is>
      </c>
      <c r="E1288" s="3" t="inlineStr">
        <is>
          <t>test_a_second_import_of_the_same_key_updates_rather_than_duplicates</t>
        </is>
      </c>
      <c r="F1288" s="3" t="inlineStr">
        <is>
          <t>named method</t>
        </is>
      </c>
      <c r="G1288" s="2" t="n"/>
      <c r="H1288" s="2" t="n">
        <v>1</v>
      </c>
      <c r="I1288" s="3" t="inlineStr">
        <is>
          <t>consilium/consilium_core/tests/test_import_pipeline.py</t>
        </is>
      </c>
    </row>
    <row r="1289" ht="30" customHeight="1">
      <c r="A1289" s="2" t="inlineStr">
        <is>
          <t>E-19</t>
        </is>
      </c>
      <c r="B1289" s="3" t="inlineStr">
        <is>
          <t>ESC</t>
        </is>
      </c>
      <c r="C1289" s="3" t="inlineStr">
        <is>
          <t>consilium_core.tests.test_import_pipeline</t>
        </is>
      </c>
      <c r="D1289" s="3" t="inlineStr">
        <is>
          <t>TestImportPipeline</t>
        </is>
      </c>
      <c r="E1289" s="3" t="inlineStr">
        <is>
          <t>test_an_export_batch_records_what_left</t>
        </is>
      </c>
      <c r="F1289" s="3" t="inlineStr">
        <is>
          <t>named method</t>
        </is>
      </c>
      <c r="G1289" s="2" t="n"/>
      <c r="H1289" s="2" t="n">
        <v>1</v>
      </c>
      <c r="I1289" s="3" t="inlineStr">
        <is>
          <t>consilium/consilium_core/tests/test_import_pipeline.py</t>
        </is>
      </c>
    </row>
    <row r="1290" ht="30" customHeight="1">
      <c r="A1290" s="2" t="inlineStr">
        <is>
          <t>O-1</t>
        </is>
      </c>
      <c r="B1290" s="3" t="inlineStr">
        <is>
          <t>Supplementary</t>
        </is>
      </c>
      <c r="C1290" s="3" t="inlineStr">
        <is>
          <t>consilium_core.tests.test_w3_guides_core</t>
        </is>
      </c>
      <c r="D1290" s="3" t="inlineStr">
        <is>
          <t>TestGuideArticlesAreFoundWhereTheAssistantPoints</t>
        </is>
      </c>
      <c r="E1290" s="3" t="inlineStr">
        <is>
          <t>test_a_guide_article_is_cited_at_its_own_anchor</t>
        </is>
      </c>
      <c r="F1290" s="3" t="inlineStr">
        <is>
          <t>whole class</t>
        </is>
      </c>
      <c r="G1290" s="2" t="n">
        <v>2</v>
      </c>
      <c r="H1290" s="2" t="n">
        <v>2</v>
      </c>
      <c r="I1290" s="3" t="inlineStr">
        <is>
          <t>consilium/consilium_core/tests/test_w3_guides_core.py</t>
        </is>
      </c>
    </row>
    <row r="1291" ht="30" customHeight="1">
      <c r="A1291" s="2" t="inlineStr">
        <is>
          <t>O-1</t>
        </is>
      </c>
      <c r="B1291" s="3" t="inlineStr">
        <is>
          <t>Supplementary</t>
        </is>
      </c>
      <c r="C1291" s="3" t="inlineStr">
        <is>
          <t>consilium_core.tests.test_w3_guides_core</t>
        </is>
      </c>
      <c r="D1291" s="3" t="inlineStr">
        <is>
          <t>TestGuideArticlesAreFoundWhereTheAssistantPoints</t>
        </is>
      </c>
      <c r="E1291" s="3" t="inlineStr">
        <is>
          <t>test_the_home_page_renders_articles_whose_category_has_no_card</t>
        </is>
      </c>
      <c r="F1291" s="3" t="inlineStr">
        <is>
          <t>whole class</t>
        </is>
      </c>
      <c r="G1291" s="2" t="n">
        <v>2</v>
      </c>
      <c r="H1291" s="2" t="n">
        <v>2</v>
      </c>
      <c r="I1291" s="3" t="inlineStr">
        <is>
          <t>consilium/consilium_core/tests/test_w3_guides_core.py</t>
        </is>
      </c>
    </row>
    <row r="1292" ht="30" customHeight="1">
      <c r="A1292" s="2" t="inlineStr">
        <is>
          <t>O-1</t>
        </is>
      </c>
      <c r="B1292" s="3" t="inlineStr">
        <is>
          <t>Supplementary</t>
        </is>
      </c>
      <c r="C1292" s="3" t="inlineStr">
        <is>
          <t>consilium_core.tests.test_assistant</t>
        </is>
      </c>
      <c r="D1292" s="3" t="inlineStr">
        <is>
          <t>TestBuiltInAnswers</t>
        </is>
      </c>
      <c r="E1292" s="3" t="inlineStr">
        <is>
          <t>test_what_can_i_do_here_lists_the_pages_tasks_by_permission</t>
        </is>
      </c>
      <c r="F1292" s="3" t="inlineStr">
        <is>
          <t>whole class</t>
        </is>
      </c>
      <c r="G1292" s="2" t="n">
        <v>12</v>
      </c>
      <c r="H1292" s="2" t="n">
        <v>12</v>
      </c>
      <c r="I1292" s="3" t="inlineStr">
        <is>
          <t>consilium/consilium_core/tests/test_assistant.py</t>
        </is>
      </c>
    </row>
    <row r="1293" ht="17" customHeight="1">
      <c r="A1293" s="2" t="inlineStr">
        <is>
          <t>O-1</t>
        </is>
      </c>
      <c r="B1293" s="3" t="inlineStr">
        <is>
          <t>Supplementary</t>
        </is>
      </c>
      <c r="C1293" s="3" t="inlineStr">
        <is>
          <t>consilium_core.tests.test_assistant</t>
        </is>
      </c>
      <c r="D1293" s="3" t="inlineStr">
        <is>
          <t>TestBuiltInAnswers</t>
        </is>
      </c>
      <c r="E1293" s="3" t="inlineStr">
        <is>
          <t>test_how_do_i_is_answered_with_steps_for_someone_allowed</t>
        </is>
      </c>
      <c r="F1293" s="3" t="inlineStr">
        <is>
          <t>whole class</t>
        </is>
      </c>
      <c r="G1293" s="2" t="n">
        <v>12</v>
      </c>
      <c r="H1293" s="2" t="n">
        <v>12</v>
      </c>
      <c r="I1293" s="3" t="inlineStr">
        <is>
          <t>consilium/consilium_core/tests/test_assistant.py</t>
        </is>
      </c>
    </row>
    <row r="1294" ht="17" customHeight="1">
      <c r="A1294" s="2" t="inlineStr">
        <is>
          <t>O-1</t>
        </is>
      </c>
      <c r="B1294" s="3" t="inlineStr">
        <is>
          <t>Supplementary</t>
        </is>
      </c>
      <c r="C1294" s="3" t="inlineStr">
        <is>
          <t>consilium_core.tests.test_assistant</t>
        </is>
      </c>
      <c r="D1294" s="3" t="inlineStr">
        <is>
          <t>TestBuiltInAnswers</t>
        </is>
      </c>
      <c r="E1294" s="3" t="inlineStr">
        <is>
          <t>test_how_do_i_tells_someone_without_the_role_why_not</t>
        </is>
      </c>
      <c r="F1294" s="3" t="inlineStr">
        <is>
          <t>whole class</t>
        </is>
      </c>
      <c r="G1294" s="2" t="n">
        <v>12</v>
      </c>
      <c r="H1294" s="2" t="n">
        <v>12</v>
      </c>
      <c r="I1294" s="3" t="inlineStr">
        <is>
          <t>consilium/consilium_core/tests/test_assistant.py</t>
        </is>
      </c>
    </row>
    <row r="1295" ht="17" customHeight="1">
      <c r="A1295" s="2" t="inlineStr">
        <is>
          <t>O-1</t>
        </is>
      </c>
      <c r="B1295" s="3" t="inlineStr">
        <is>
          <t>Supplementary</t>
        </is>
      </c>
      <c r="C1295" s="3" t="inlineStr">
        <is>
          <t>consilium_core.tests.test_assistant</t>
        </is>
      </c>
      <c r="D1295" s="3" t="inlineStr">
        <is>
          <t>TestBuiltInAnswers</t>
        </is>
      </c>
      <c r="E1295" s="3" t="inlineStr">
        <is>
          <t>test_why_cant_names_the_missing_role_for_an_area</t>
        </is>
      </c>
      <c r="F1295" s="3" t="inlineStr">
        <is>
          <t>whole class</t>
        </is>
      </c>
      <c r="G1295" s="2" t="n">
        <v>12</v>
      </c>
      <c r="H1295" s="2" t="n">
        <v>12</v>
      </c>
      <c r="I1295" s="3" t="inlineStr">
        <is>
          <t>consilium/consilium_core/tests/test_assistant.py</t>
        </is>
      </c>
    </row>
    <row r="1296" ht="17" customHeight="1">
      <c r="A1296" s="2" t="inlineStr">
        <is>
          <t>O-1</t>
        </is>
      </c>
      <c r="B1296" s="3" t="inlineStr">
        <is>
          <t>Supplementary</t>
        </is>
      </c>
      <c r="C1296" s="3" t="inlineStr">
        <is>
          <t>consilium_core.tests.test_assistant</t>
        </is>
      </c>
      <c r="D1296" s="3" t="inlineStr">
        <is>
          <t>TestBuiltInAnswers</t>
        </is>
      </c>
      <c r="E1296" s="3" t="inlineStr">
        <is>
          <t>test_what_does_a_term_mean_uses_the_glossary</t>
        </is>
      </c>
      <c r="F1296" s="3" t="inlineStr">
        <is>
          <t>whole class</t>
        </is>
      </c>
      <c r="G1296" s="2" t="n">
        <v>12</v>
      </c>
      <c r="H1296" s="2" t="n">
        <v>12</v>
      </c>
      <c r="I1296" s="3" t="inlineStr">
        <is>
          <t>consilium/consilium_core/tests/test_assistant.py</t>
        </is>
      </c>
    </row>
    <row r="1297" ht="17" customHeight="1">
      <c r="A1297" s="2" t="inlineStr">
        <is>
          <t>O-1</t>
        </is>
      </c>
      <c r="B1297" s="3" t="inlineStr">
        <is>
          <t>Supplementary</t>
        </is>
      </c>
      <c r="C1297" s="3" t="inlineStr">
        <is>
          <t>consilium_core.tests.test_assistant</t>
        </is>
      </c>
      <c r="D1297" s="3" t="inlineStr">
        <is>
          <t>TestBuiltInAnswers</t>
        </is>
      </c>
      <c r="E1297" s="3" t="inlineStr">
        <is>
          <t>test_a_published_glossary_term_record_is_used</t>
        </is>
      </c>
      <c r="F1297" s="3" t="inlineStr">
        <is>
          <t>whole class</t>
        </is>
      </c>
      <c r="G1297" s="2" t="n">
        <v>12</v>
      </c>
      <c r="H1297" s="2" t="n">
        <v>12</v>
      </c>
      <c r="I1297" s="3" t="inlineStr">
        <is>
          <t>consilium/consilium_core/tests/test_assistant.py</t>
        </is>
      </c>
    </row>
    <row r="1298" ht="17" customHeight="1">
      <c r="A1298" s="2" t="inlineStr">
        <is>
          <t>O-1</t>
        </is>
      </c>
      <c r="B1298" s="3" t="inlineStr">
        <is>
          <t>Supplementary</t>
        </is>
      </c>
      <c r="C1298" s="3" t="inlineStr">
        <is>
          <t>consilium_core.tests.test_assistant</t>
        </is>
      </c>
      <c r="D1298" s="3" t="inlineStr">
        <is>
          <t>TestBuiltInAnswers</t>
        </is>
      </c>
      <c r="E1298" s="3" t="inlineStr">
        <is>
          <t>test_where_do_i_find_points_to_the_page</t>
        </is>
      </c>
      <c r="F1298" s="3" t="inlineStr">
        <is>
          <t>whole class</t>
        </is>
      </c>
      <c r="G1298" s="2" t="n">
        <v>12</v>
      </c>
      <c r="H1298" s="2" t="n">
        <v>12</v>
      </c>
      <c r="I1298" s="3" t="inlineStr">
        <is>
          <t>consilium/consilium_core/tests/test_assistant.py</t>
        </is>
      </c>
    </row>
    <row r="1299" ht="17" customHeight="1">
      <c r="A1299" s="2" t="inlineStr">
        <is>
          <t>O-1</t>
        </is>
      </c>
      <c r="B1299" s="3" t="inlineStr">
        <is>
          <t>Supplementary</t>
        </is>
      </c>
      <c r="C1299" s="3" t="inlineStr">
        <is>
          <t>consilium_core.tests.test_assistant</t>
        </is>
      </c>
      <c r="D1299" s="3" t="inlineStr">
        <is>
          <t>TestBuiltInAnswers</t>
        </is>
      </c>
      <c r="E1299" s="3" t="inlineStr">
        <is>
          <t>test_every_link_in_an_answer_is_a_same_origin_path</t>
        </is>
      </c>
      <c r="F1299" s="3" t="inlineStr">
        <is>
          <t>whole class</t>
        </is>
      </c>
      <c r="G1299" s="2" t="n">
        <v>12</v>
      </c>
      <c r="H1299" s="2" t="n">
        <v>12</v>
      </c>
      <c r="I1299" s="3" t="inlineStr">
        <is>
          <t>consilium/consilium_core/tests/test_assistant.py</t>
        </is>
      </c>
    </row>
    <row r="1300" ht="17" customHeight="1">
      <c r="A1300" s="2" t="inlineStr">
        <is>
          <t>O-1</t>
        </is>
      </c>
      <c r="B1300" s="3" t="inlineStr">
        <is>
          <t>Supplementary</t>
        </is>
      </c>
      <c r="C1300" s="3" t="inlineStr">
        <is>
          <t>consilium_core.tests.test_assistant</t>
        </is>
      </c>
      <c r="D1300" s="3" t="inlineStr">
        <is>
          <t>TestBuiltInAnswers</t>
        </is>
      </c>
      <c r="E1300" s="3" t="inlineStr">
        <is>
          <t>test_suggestions_are_per_page</t>
        </is>
      </c>
      <c r="F1300" s="3" t="inlineStr">
        <is>
          <t>whole class</t>
        </is>
      </c>
      <c r="G1300" s="2" t="n">
        <v>12</v>
      </c>
      <c r="H1300" s="2" t="n">
        <v>12</v>
      </c>
      <c r="I1300" s="3" t="inlineStr">
        <is>
          <t>consilium/consilium_core/tests/test_assistant.py</t>
        </is>
      </c>
    </row>
    <row r="1301" ht="17" customHeight="1">
      <c r="A1301" s="2" t="inlineStr">
        <is>
          <t>O-1</t>
        </is>
      </c>
      <c r="B1301" s="3" t="inlineStr">
        <is>
          <t>Supplementary</t>
        </is>
      </c>
      <c r="C1301" s="3" t="inlineStr">
        <is>
          <t>consilium_core.tests.test_assistant</t>
        </is>
      </c>
      <c r="D1301" s="3" t="inlineStr">
        <is>
          <t>TestBuiltInAnswers</t>
        </is>
      </c>
      <c r="E1301" s="3" t="inlineStr">
        <is>
          <t>test_a_signed_out_visitor_is_refused</t>
        </is>
      </c>
      <c r="F1301" s="3" t="inlineStr">
        <is>
          <t>whole class</t>
        </is>
      </c>
      <c r="G1301" s="2" t="n">
        <v>12</v>
      </c>
      <c r="H1301" s="2" t="n">
        <v>12</v>
      </c>
      <c r="I1301" s="3" t="inlineStr">
        <is>
          <t>consilium/consilium_core/tests/test_assistant.py</t>
        </is>
      </c>
    </row>
    <row r="1302" ht="17" customHeight="1">
      <c r="A1302" s="2" t="inlineStr">
        <is>
          <t>O-1</t>
        </is>
      </c>
      <c r="B1302" s="3" t="inlineStr">
        <is>
          <t>Supplementary</t>
        </is>
      </c>
      <c r="C1302" s="3" t="inlineStr">
        <is>
          <t>consilium_core.tests.test_assistant</t>
        </is>
      </c>
      <c r="D1302" s="3" t="inlineStr">
        <is>
          <t>TestBuiltInAnswers</t>
        </is>
      </c>
      <c r="E1302" s="3" t="inlineStr">
        <is>
          <t>test_an_empty_question_is_refused</t>
        </is>
      </c>
      <c r="F1302" s="3" t="inlineStr">
        <is>
          <t>whole class</t>
        </is>
      </c>
      <c r="G1302" s="2" t="n">
        <v>12</v>
      </c>
      <c r="H1302" s="2" t="n">
        <v>12</v>
      </c>
      <c r="I1302" s="3" t="inlineStr">
        <is>
          <t>consilium/consilium_core/tests/test_assistant.py</t>
        </is>
      </c>
    </row>
    <row r="1303" ht="17" customHeight="1">
      <c r="A1303" s="2" t="inlineStr">
        <is>
          <t>O-1</t>
        </is>
      </c>
      <c r="B1303" s="3" t="inlineStr">
        <is>
          <t>Supplementary</t>
        </is>
      </c>
      <c r="C1303" s="3" t="inlineStr">
        <is>
          <t>consilium_core.tests.test_assistant</t>
        </is>
      </c>
      <c r="D1303" s="3" t="inlineStr">
        <is>
          <t>TestBuiltInAnswers</t>
        </is>
      </c>
      <c r="E1303" s="3" t="inlineStr">
        <is>
          <t>test_malformed_context_is_ignored_not_trusted</t>
        </is>
      </c>
      <c r="F1303" s="3" t="inlineStr">
        <is>
          <t>whole class</t>
        </is>
      </c>
      <c r="G1303" s="2" t="n">
        <v>12</v>
      </c>
      <c r="H1303" s="2" t="n">
        <v>12</v>
      </c>
      <c r="I1303" s="3" t="inlineStr">
        <is>
          <t>consilium/consilium_core/tests/test_assistant.py</t>
        </is>
      </c>
    </row>
    <row r="1304" ht="30" customHeight="1">
      <c r="A1304" s="2" t="inlineStr">
        <is>
          <t>O-1</t>
        </is>
      </c>
      <c r="B1304" s="3" t="inlineStr">
        <is>
          <t>Supplementary</t>
        </is>
      </c>
      <c r="C1304" s="3" t="inlineStr">
        <is>
          <t>consilium_core.tests.test_assistant</t>
        </is>
      </c>
      <c r="D1304" s="3" t="inlineStr">
        <is>
          <t>TestAdminDocumentation</t>
        </is>
      </c>
      <c r="E1304" s="3" t="inlineStr">
        <is>
          <t>test_admin_guide_sections_are_hidden_from_non_administrators</t>
        </is>
      </c>
      <c r="F1304" s="3" t="inlineStr">
        <is>
          <t>whole class</t>
        </is>
      </c>
      <c r="G1304" s="2" t="n">
        <v>2</v>
      </c>
      <c r="H1304" s="2" t="n">
        <v>2</v>
      </c>
      <c r="I1304" s="3" t="inlineStr">
        <is>
          <t>consilium/consilium_core/tests/test_assistant.py</t>
        </is>
      </c>
    </row>
    <row r="1305" ht="17" customHeight="1">
      <c r="A1305" s="2" t="inlineStr">
        <is>
          <t>O-1</t>
        </is>
      </c>
      <c r="B1305" s="3" t="inlineStr">
        <is>
          <t>Supplementary</t>
        </is>
      </c>
      <c r="C1305" s="3" t="inlineStr">
        <is>
          <t>consilium_core.tests.test_assistant</t>
        </is>
      </c>
      <c r="D1305" s="3" t="inlineStr">
        <is>
          <t>TestAdminDocumentation</t>
        </is>
      </c>
      <c r="E1305" s="3" t="inlineStr">
        <is>
          <t>test_the_index_is_rebuilt_when_a_source_changes</t>
        </is>
      </c>
      <c r="F1305" s="3" t="inlineStr">
        <is>
          <t>whole class</t>
        </is>
      </c>
      <c r="G1305" s="2" t="n">
        <v>2</v>
      </c>
      <c r="H1305" s="2" t="n">
        <v>2</v>
      </c>
      <c r="I1305" s="3" t="inlineStr">
        <is>
          <t>consilium/consilium_core/tests/test_assistant.py</t>
        </is>
      </c>
    </row>
    <row r="1306" ht="17" customHeight="1">
      <c r="A1306" s="2" t="inlineStr">
        <is>
          <t>O-1</t>
        </is>
      </c>
      <c r="B1306" s="3" t="inlineStr">
        <is>
          <t>Supplementary</t>
        </is>
      </c>
      <c r="C1306" s="3" t="inlineStr">
        <is>
          <t>consilium_core.tests.test_portal_pages</t>
        </is>
      </c>
      <c r="D1306" s="3" t="inlineStr">
        <is>
          <t>TestAdministrator</t>
        </is>
      </c>
      <c r="E1306" s="3" t="inlineStr">
        <is>
          <t>test_every_page_renders_with_its_key_sections</t>
        </is>
      </c>
      <c r="F1306" s="3" t="inlineStr">
        <is>
          <t>named method</t>
        </is>
      </c>
      <c r="G1306" s="2" t="n"/>
      <c r="H1306" s="2" t="n">
        <v>1</v>
      </c>
      <c r="I1306" s="3" t="inlineStr">
        <is>
          <t>consilium/consilium_core/tests/test_portal_pages.py</t>
        </is>
      </c>
    </row>
    <row r="1307" ht="17" customHeight="1">
      <c r="A1307" s="2" t="inlineStr">
        <is>
          <t>O-2</t>
        </is>
      </c>
      <c r="B1307" s="3" t="inlineStr">
        <is>
          <t>Supplementary</t>
        </is>
      </c>
      <c r="C1307" s="3" t="inlineStr">
        <is>
          <t>governance.tests.test_governance_gaps</t>
        </is>
      </c>
      <c r="D1307" s="3" t="inlineStr">
        <is>
          <t>TestInventoryReads</t>
        </is>
      </c>
      <c r="E1307" s="3" t="inlineStr">
        <is>
          <t>test_the_map_draws_what_the_viewer_may_see</t>
        </is>
      </c>
      <c r="F1307" s="3" t="inlineStr">
        <is>
          <t>named method</t>
        </is>
      </c>
      <c r="G1307" s="2" t="n"/>
      <c r="H1307" s="2" t="n">
        <v>1</v>
      </c>
      <c r="I1307" s="3" t="inlineStr">
        <is>
          <t>consilium/governance/tests/test_governance_gaps.py</t>
        </is>
      </c>
    </row>
    <row r="1308" ht="17" customHeight="1">
      <c r="A1308" s="2" t="inlineStr">
        <is>
          <t>O-2</t>
        </is>
      </c>
      <c r="B1308" s="3" t="inlineStr">
        <is>
          <t>Supplementary</t>
        </is>
      </c>
      <c r="C1308" s="3" t="inlineStr">
        <is>
          <t>governance.tests.test_governance_gaps</t>
        </is>
      </c>
      <c r="D1308" s="3" t="inlineStr">
        <is>
          <t>TestPages</t>
        </is>
      </c>
      <c r="E1308" s="3" t="inlineStr">
        <is>
          <t>test_the_pages_render_with_their_new_sections</t>
        </is>
      </c>
      <c r="F1308" s="3" t="inlineStr">
        <is>
          <t>named method</t>
        </is>
      </c>
      <c r="G1308" s="2" t="n"/>
      <c r="H1308" s="2" t="n">
        <v>1</v>
      </c>
      <c r="I1308" s="3" t="inlineStr">
        <is>
          <t>consilium/governance/tests/test_governance_gaps.py</t>
        </is>
      </c>
    </row>
    <row r="1309" ht="17" customHeight="1">
      <c r="A1309" s="2" t="inlineStr">
        <is>
          <t>O-2</t>
        </is>
      </c>
      <c r="B1309" s="3" t="inlineStr">
        <is>
          <t>Supplementary</t>
        </is>
      </c>
      <c r="C1309" s="3" t="inlineStr">
        <is>
          <t>governance.tests.test_inventory</t>
        </is>
      </c>
      <c r="D1309" s="3" t="inlineStr">
        <is>
          <t>TestRelationships</t>
        </is>
      </c>
      <c r="E1309" s="3" t="inlineStr">
        <is>
          <t>test_the_hierarchy_reads_from_the_parent_link</t>
        </is>
      </c>
      <c r="F1309" s="3" t="inlineStr">
        <is>
          <t>whole class</t>
        </is>
      </c>
      <c r="G1309" s="2" t="n">
        <v>2</v>
      </c>
      <c r="H1309" s="2" t="n">
        <v>2</v>
      </c>
      <c r="I1309" s="3" t="inlineStr">
        <is>
          <t>consilium/governance/tests/test_inventory.py</t>
        </is>
      </c>
    </row>
    <row r="1310" ht="30" customHeight="1">
      <c r="A1310" s="2" t="inlineStr">
        <is>
          <t>O-2</t>
        </is>
      </c>
      <c r="B1310" s="3" t="inlineStr">
        <is>
          <t>Supplementary</t>
        </is>
      </c>
      <c r="C1310" s="3" t="inlineStr">
        <is>
          <t>governance.tests.test_inventory</t>
        </is>
      </c>
      <c r="D1310" s="3" t="inlineStr">
        <is>
          <t>TestRelationships</t>
        </is>
      </c>
      <c r="E1310" s="3" t="inlineStr">
        <is>
          <t>test_the_inverse_relationship_is_visible_from_the_other_side</t>
        </is>
      </c>
      <c r="F1310" s="3" t="inlineStr">
        <is>
          <t>whole class</t>
        </is>
      </c>
      <c r="G1310" s="2" t="n">
        <v>2</v>
      </c>
      <c r="H1310" s="2" t="n">
        <v>2</v>
      </c>
      <c r="I1310" s="3" t="inlineStr">
        <is>
          <t>consilium/governance/tests/test_inventory.py</t>
        </is>
      </c>
    </row>
    <row r="1311" ht="17" customHeight="1">
      <c r="A1311" s="2" t="inlineStr">
        <is>
          <t>O-3</t>
        </is>
      </c>
      <c r="B1311" s="3" t="inlineStr">
        <is>
          <t>Supplementary</t>
        </is>
      </c>
      <c r="C1311" s="3" t="inlineStr">
        <is>
          <t>consilium_core.tests.test_ai_features</t>
        </is>
      </c>
      <c r="D1311" s="3" t="inlineStr">
        <is>
          <t>TestGaps</t>
        </is>
      </c>
      <c r="E1311" s="3" t="inlineStr">
        <is>
          <t>test_forum_policy_regulatory_and_coverage_gaps_are_found</t>
        </is>
      </c>
      <c r="F1311" s="3" t="inlineStr">
        <is>
          <t>named method</t>
        </is>
      </c>
      <c r="G1311" s="2" t="n"/>
      <c r="H1311" s="2" t="n">
        <v>1</v>
      </c>
      <c r="I1311" s="3" t="inlineStr">
        <is>
          <t>consilium/consilium_core/tests/test_ai_features.py</t>
        </is>
      </c>
    </row>
    <row r="1312" ht="17" customHeight="1">
      <c r="A1312" s="2" t="inlineStr">
        <is>
          <t>O-3</t>
        </is>
      </c>
      <c r="B1312" s="3" t="inlineStr">
        <is>
          <t>Supplementary</t>
        </is>
      </c>
      <c r="C1312" s="3" t="inlineStr">
        <is>
          <t>consilium_core.tests.test_portal_pages</t>
        </is>
      </c>
      <c r="D1312" s="3" t="inlineStr">
        <is>
          <t>TestAdministrator</t>
        </is>
      </c>
      <c r="E1312" s="3" t="inlineStr">
        <is>
          <t>test_every_page_renders_with_its_key_sections</t>
        </is>
      </c>
      <c r="F1312" s="3" t="inlineStr">
        <is>
          <t>named method</t>
        </is>
      </c>
      <c r="G1312" s="2" t="n"/>
      <c r="H1312" s="2" t="n">
        <v>1</v>
      </c>
      <c r="I1312" s="3" t="inlineStr">
        <is>
          <t>consilium/consilium_core/tests/test_portal_pages.py</t>
        </is>
      </c>
    </row>
    <row r="1313" ht="17" customHeight="1">
      <c r="A1313" s="2" t="inlineStr">
        <is>
          <t>O-4</t>
        </is>
      </c>
      <c r="B1313" s="3" t="inlineStr">
        <is>
          <t>Supplementary</t>
        </is>
      </c>
      <c r="C1313" s="3" t="inlineStr">
        <is>
          <t>governance.tests.test_wave3_governance</t>
        </is>
      </c>
      <c r="D1313" s="3" t="inlineStr">
        <is>
          <t>TestTemplatedNotices</t>
        </is>
      </c>
      <c r="E1313" s="3" t="inlineStr">
        <is>
          <t>test_a_returned_request_is_told_through_its_template</t>
        </is>
      </c>
      <c r="F1313" s="3" t="inlineStr">
        <is>
          <t>whole class</t>
        </is>
      </c>
      <c r="G1313" s="2" t="n">
        <v>3</v>
      </c>
      <c r="H1313" s="2" t="n">
        <v>3</v>
      </c>
      <c r="I1313" s="3" t="inlineStr">
        <is>
          <t>consilium/governance/tests/test_wave3_governance.py</t>
        </is>
      </c>
    </row>
    <row r="1314" ht="17" customHeight="1">
      <c r="A1314" s="2" t="inlineStr">
        <is>
          <t>O-4</t>
        </is>
      </c>
      <c r="B1314" s="3" t="inlineStr">
        <is>
          <t>Supplementary</t>
        </is>
      </c>
      <c r="C1314" s="3" t="inlineStr">
        <is>
          <t>governance.tests.test_wave3_governance</t>
        </is>
      </c>
      <c r="D1314" s="3" t="inlineStr">
        <is>
          <t>TestTemplatedNotices</t>
        </is>
      </c>
      <c r="E1314" s="3" t="inlineStr">
        <is>
          <t>test_the_approver_is_told_their_step_through_its_template</t>
        </is>
      </c>
      <c r="F1314" s="3" t="inlineStr">
        <is>
          <t>whole class</t>
        </is>
      </c>
      <c r="G1314" s="2" t="n">
        <v>3</v>
      </c>
      <c r="H1314" s="2" t="n">
        <v>3</v>
      </c>
      <c r="I1314" s="3" t="inlineStr">
        <is>
          <t>consilium/governance/tests/test_wave3_governance.py</t>
        </is>
      </c>
    </row>
    <row r="1315" ht="17" customHeight="1">
      <c r="A1315" s="2" t="inlineStr">
        <is>
          <t>O-4</t>
        </is>
      </c>
      <c r="B1315" s="3" t="inlineStr">
        <is>
          <t>Supplementary</t>
        </is>
      </c>
      <c r="C1315" s="3" t="inlineStr">
        <is>
          <t>governance.tests.test_wave3_governance</t>
        </is>
      </c>
      <c r="D1315" s="3" t="inlineStr">
        <is>
          <t>TestTemplatedNotices</t>
        </is>
      </c>
      <c r="E1315" s="3" t="inlineStr">
        <is>
          <t>test_compliance_is_told_of_a_review_through_its_template</t>
        </is>
      </c>
      <c r="F1315" s="3" t="inlineStr">
        <is>
          <t>whole class</t>
        </is>
      </c>
      <c r="G1315" s="2" t="n">
        <v>3</v>
      </c>
      <c r="H1315" s="2" t="n">
        <v>3</v>
      </c>
      <c r="I1315" s="3" t="inlineStr">
        <is>
          <t>consilium/governance/tests/test_wave3_governance.py</t>
        </is>
      </c>
    </row>
    <row r="1316" ht="30" customHeight="1">
      <c r="A1316" s="2" t="inlineStr">
        <is>
          <t>O-4</t>
        </is>
      </c>
      <c r="B1316" s="3" t="inlineStr">
        <is>
          <t>Supplementary</t>
        </is>
      </c>
      <c r="C1316" s="3" t="inlineStr">
        <is>
          <t>consilium_core.tests.test_notification_templates</t>
        </is>
      </c>
      <c r="D1316" s="3" t="inlineStr">
        <is>
          <t>TestSeeding</t>
        </is>
      </c>
      <c r="E1316" s="3" t="inlineStr">
        <is>
          <t>test_every_event_the_application_raises_has_a_template</t>
        </is>
      </c>
      <c r="F1316" s="3" t="inlineStr">
        <is>
          <t>whole class</t>
        </is>
      </c>
      <c r="G1316" s="2" t="n">
        <v>2</v>
      </c>
      <c r="H1316" s="2" t="n">
        <v>2</v>
      </c>
      <c r="I1316" s="3" t="inlineStr">
        <is>
          <t>consilium/consilium_core/tests/test_notification_templates.py</t>
        </is>
      </c>
    </row>
    <row r="1317" ht="30" customHeight="1">
      <c r="A1317" s="2" t="inlineStr">
        <is>
          <t>O-4</t>
        </is>
      </c>
      <c r="B1317" s="3" t="inlineStr">
        <is>
          <t>Supplementary</t>
        </is>
      </c>
      <c r="C1317" s="3" t="inlineStr">
        <is>
          <t>consilium_core.tests.test_notification_templates</t>
        </is>
      </c>
      <c r="D1317" s="3" t="inlineStr">
        <is>
          <t>TestSeeding</t>
        </is>
      </c>
      <c r="E1317" s="3" t="inlineStr">
        <is>
          <t>test_seeding_twice_changes_nothing_and_keeps_an_administrators_wording</t>
        </is>
      </c>
      <c r="F1317" s="3" t="inlineStr">
        <is>
          <t>whole class</t>
        </is>
      </c>
      <c r="G1317" s="2" t="n">
        <v>2</v>
      </c>
      <c r="H1317" s="2" t="n">
        <v>2</v>
      </c>
      <c r="I1317" s="3" t="inlineStr">
        <is>
          <t>consilium/consilium_core/tests/test_notification_templates.py</t>
        </is>
      </c>
    </row>
    <row r="1318" ht="30" customHeight="1">
      <c r="A1318" s="2" t="inlineStr">
        <is>
          <t>O-4</t>
        </is>
      </c>
      <c r="B1318" s="3" t="inlineStr">
        <is>
          <t>Supplementary</t>
        </is>
      </c>
      <c r="C1318" s="3" t="inlineStr">
        <is>
          <t>consilium_core.tests.test_notification_templates</t>
        </is>
      </c>
      <c r="D1318" s="3" t="inlineStr">
        <is>
          <t>TestEventApi</t>
        </is>
      </c>
      <c r="E1318" s="3" t="inlineStr">
        <is>
          <t>test_a_template_is_rendered_against_the_context_and_the_record</t>
        </is>
      </c>
      <c r="F1318" s="3" t="inlineStr">
        <is>
          <t>whole class</t>
        </is>
      </c>
      <c r="G1318" s="2" t="n">
        <v>10</v>
      </c>
      <c r="H1318" s="2" t="n">
        <v>10</v>
      </c>
      <c r="I1318" s="3" t="inlineStr">
        <is>
          <t>consilium/consilium_core/tests/test_notification_templates.py</t>
        </is>
      </c>
    </row>
    <row r="1319" ht="30" customHeight="1">
      <c r="A1319" s="2" t="inlineStr">
        <is>
          <t>O-4</t>
        </is>
      </c>
      <c r="B1319" s="3" t="inlineStr">
        <is>
          <t>Supplementary</t>
        </is>
      </c>
      <c r="C1319" s="3" t="inlineStr">
        <is>
          <t>consilium_core.tests.test_notification_templates</t>
        </is>
      </c>
      <c r="D1319" s="3" t="inlineStr">
        <is>
          <t>TestEventApi</t>
        </is>
      </c>
      <c r="E1319" s="3" t="inlineStr">
        <is>
          <t>test_email_is_handed_to_the_framework_mail_queue</t>
        </is>
      </c>
      <c r="F1319" s="3" t="inlineStr">
        <is>
          <t>whole class</t>
        </is>
      </c>
      <c r="G1319" s="2" t="n">
        <v>10</v>
      </c>
      <c r="H1319" s="2" t="n">
        <v>10</v>
      </c>
      <c r="I1319" s="3" t="inlineStr">
        <is>
          <t>consilium/consilium_core/tests/test_notification_templates.py</t>
        </is>
      </c>
    </row>
    <row r="1320" ht="30" customHeight="1">
      <c r="A1320" s="2" t="inlineStr">
        <is>
          <t>O-4</t>
        </is>
      </c>
      <c r="B1320" s="3" t="inlineStr">
        <is>
          <t>Supplementary</t>
        </is>
      </c>
      <c r="C1320" s="3" t="inlineStr">
        <is>
          <t>consilium_core.tests.test_notification_templates</t>
        </is>
      </c>
      <c r="D1320" s="3" t="inlineStr">
        <is>
          <t>TestEventApi</t>
        </is>
      </c>
      <c r="E1320" s="3" t="inlineStr">
        <is>
          <t>test_one_event_can_go_to_two_channels</t>
        </is>
      </c>
      <c r="F1320" s="3" t="inlineStr">
        <is>
          <t>whole class</t>
        </is>
      </c>
      <c r="G1320" s="2" t="n">
        <v>10</v>
      </c>
      <c r="H1320" s="2" t="n">
        <v>10</v>
      </c>
      <c r="I1320" s="3" t="inlineStr">
        <is>
          <t>consilium/consilium_core/tests/test_notification_templates.py</t>
        </is>
      </c>
    </row>
    <row r="1321" ht="30" customHeight="1">
      <c r="A1321" s="2" t="inlineStr">
        <is>
          <t>O-4</t>
        </is>
      </c>
      <c r="B1321" s="3" t="inlineStr">
        <is>
          <t>Supplementary</t>
        </is>
      </c>
      <c r="C1321" s="3" t="inlineStr">
        <is>
          <t>consilium_core.tests.test_notification_templates</t>
        </is>
      </c>
      <c r="D1321" s="3" t="inlineStr">
        <is>
          <t>TestEventApi</t>
        </is>
      </c>
      <c r="E1321" s="3" t="inlineStr">
        <is>
          <t>test_without_outgoing_email_the_record_channel_is_used_and_nothing_fails</t>
        </is>
      </c>
      <c r="F1321" s="3" t="inlineStr">
        <is>
          <t>whole class</t>
        </is>
      </c>
      <c r="G1321" s="2" t="n">
        <v>10</v>
      </c>
      <c r="H1321" s="2" t="n">
        <v>10</v>
      </c>
      <c r="I1321" s="3" t="inlineStr">
        <is>
          <t>consilium/consilium_core/tests/test_notification_templates.py</t>
        </is>
      </c>
    </row>
    <row r="1322" ht="30" customHeight="1">
      <c r="A1322" s="2" t="inlineStr">
        <is>
          <t>O-4</t>
        </is>
      </c>
      <c r="B1322" s="3" t="inlineStr">
        <is>
          <t>Supplementary</t>
        </is>
      </c>
      <c r="C1322" s="3" t="inlineStr">
        <is>
          <t>consilium_core.tests.test_notification_templates</t>
        </is>
      </c>
      <c r="D1322" s="3" t="inlineStr">
        <is>
          <t>TestEventApi</t>
        </is>
      </c>
      <c r="E1322" s="3" t="inlineStr">
        <is>
          <t>test_a_person_who_turned_email_off_is_not_emailed_and_the_refusal_is_recorded</t>
        </is>
      </c>
      <c r="F1322" s="3" t="inlineStr">
        <is>
          <t>whole class</t>
        </is>
      </c>
      <c r="G1322" s="2" t="n">
        <v>10</v>
      </c>
      <c r="H1322" s="2" t="n">
        <v>10</v>
      </c>
      <c r="I1322" s="3" t="inlineStr">
        <is>
          <t>consilium/consilium_core/tests/test_notification_templates.py</t>
        </is>
      </c>
    </row>
    <row r="1323" ht="30" customHeight="1">
      <c r="A1323" s="2" t="inlineStr">
        <is>
          <t>O-4</t>
        </is>
      </c>
      <c r="B1323" s="3" t="inlineStr">
        <is>
          <t>Supplementary</t>
        </is>
      </c>
      <c r="C1323" s="3" t="inlineStr">
        <is>
          <t>consilium_core.tests.test_notification_templates</t>
        </is>
      </c>
      <c r="D1323" s="3" t="inlineStr">
        <is>
          <t>TestEventApi</t>
        </is>
      </c>
      <c r="E1323" s="3" t="inlineStr">
        <is>
          <t>test_a_disabled_account_is_not_emailed</t>
        </is>
      </c>
      <c r="F1323" s="3" t="inlineStr">
        <is>
          <t>whole class</t>
        </is>
      </c>
      <c r="G1323" s="2" t="n">
        <v>10</v>
      </c>
      <c r="H1323" s="2" t="n">
        <v>10</v>
      </c>
      <c r="I1323" s="3" t="inlineStr">
        <is>
          <t>consilium/consilium_core/tests/test_notification_templates.py</t>
        </is>
      </c>
    </row>
    <row r="1324" ht="30" customHeight="1">
      <c r="A1324" s="2" t="inlineStr">
        <is>
          <t>O-4</t>
        </is>
      </c>
      <c r="B1324" s="3" t="inlineStr">
        <is>
          <t>Supplementary</t>
        </is>
      </c>
      <c r="C1324" s="3" t="inlineStr">
        <is>
          <t>consilium_core.tests.test_notification_templates</t>
        </is>
      </c>
      <c r="D1324" s="3" t="inlineStr">
        <is>
          <t>TestEventApi</t>
        </is>
      </c>
      <c r="E1324" s="3" t="inlineStr">
        <is>
          <t>test_an_event_with_no_active_template_is_still_recorded</t>
        </is>
      </c>
      <c r="F1324" s="3" t="inlineStr">
        <is>
          <t>whole class</t>
        </is>
      </c>
      <c r="G1324" s="2" t="n">
        <v>10</v>
      </c>
      <c r="H1324" s="2" t="n">
        <v>10</v>
      </c>
      <c r="I1324" s="3" t="inlineStr">
        <is>
          <t>consilium/consilium_core/tests/test_notification_templates.py</t>
        </is>
      </c>
    </row>
    <row r="1325" ht="30" customHeight="1">
      <c r="A1325" s="2" t="inlineStr">
        <is>
          <t>O-4</t>
        </is>
      </c>
      <c r="B1325" s="3" t="inlineStr">
        <is>
          <t>Supplementary</t>
        </is>
      </c>
      <c r="C1325" s="3" t="inlineStr">
        <is>
          <t>consilium_core.tests.test_notification_templates</t>
        </is>
      </c>
      <c r="D1325" s="3" t="inlineStr">
        <is>
          <t>TestEventApi</t>
        </is>
      </c>
      <c r="E1325" s="3" t="inlineStr">
        <is>
          <t>test_a_known_event_without_templates_uses_its_built_in_wording</t>
        </is>
      </c>
      <c r="F1325" s="3" t="inlineStr">
        <is>
          <t>whole class</t>
        </is>
      </c>
      <c r="G1325" s="2" t="n">
        <v>10</v>
      </c>
      <c r="H1325" s="2" t="n">
        <v>10</v>
      </c>
      <c r="I1325" s="3" t="inlineStr">
        <is>
          <t>consilium/consilium_core/tests/test_notification_templates.py</t>
        </is>
      </c>
    </row>
    <row r="1326" ht="30" customHeight="1">
      <c r="A1326" s="2" t="inlineStr">
        <is>
          <t>O-4</t>
        </is>
      </c>
      <c r="B1326" s="3" t="inlineStr">
        <is>
          <t>Supplementary</t>
        </is>
      </c>
      <c r="C1326" s="3" t="inlineStr">
        <is>
          <t>consilium_core.tests.test_notification_templates</t>
        </is>
      </c>
      <c r="D1326" s="3" t="inlineStr">
        <is>
          <t>TestEventApi</t>
        </is>
      </c>
      <c r="E1326" s="3" t="inlineStr">
        <is>
          <t>test_people_who_are_not_users_are_dropped</t>
        </is>
      </c>
      <c r="F1326" s="3" t="inlineStr">
        <is>
          <t>whole class</t>
        </is>
      </c>
      <c r="G1326" s="2" t="n">
        <v>10</v>
      </c>
      <c r="H1326" s="2" t="n">
        <v>10</v>
      </c>
      <c r="I1326" s="3" t="inlineStr">
        <is>
          <t>consilium/consilium_core/tests/test_notification_templates.py</t>
        </is>
      </c>
    </row>
    <row r="1327" ht="30" customHeight="1">
      <c r="A1327" s="2" t="inlineStr">
        <is>
          <t>O-4</t>
        </is>
      </c>
      <c r="B1327" s="3" t="inlineStr">
        <is>
          <t>Supplementary</t>
        </is>
      </c>
      <c r="C1327" s="3" t="inlineStr">
        <is>
          <t>consilium_core.tests.test_notification_templates</t>
        </is>
      </c>
      <c r="D1327" s="3" t="inlineStr">
        <is>
          <t>TestEventApi</t>
        </is>
      </c>
      <c r="E1327" s="3" t="inlineStr">
        <is>
          <t>test_a_long_subject_is_shortened_rather_than_refused</t>
        </is>
      </c>
      <c r="F1327" s="3" t="inlineStr">
        <is>
          <t>whole class</t>
        </is>
      </c>
      <c r="G1327" s="2" t="n">
        <v>10</v>
      </c>
      <c r="H1327" s="2" t="n">
        <v>10</v>
      </c>
      <c r="I1327" s="3" t="inlineStr">
        <is>
          <t>consilium/consilium_core/tests/test_notification_templates.py</t>
        </is>
      </c>
    </row>
    <row r="1328" ht="30" customHeight="1">
      <c r="A1328" s="2" t="inlineStr">
        <is>
          <t>O-4</t>
        </is>
      </c>
      <c r="B1328" s="3" t="inlineStr">
        <is>
          <t>Supplementary</t>
        </is>
      </c>
      <c r="C1328" s="3" t="inlineStr">
        <is>
          <t>consilium_core.tests.test_notification_templates</t>
        </is>
      </c>
      <c r="D1328" s="3" t="inlineStr">
        <is>
          <t>TestTemplateFailures</t>
        </is>
      </c>
      <c r="E1328" s="3" t="inlineStr">
        <is>
          <t>test_a_template_that_does_not_parse_is_refused_when_saved</t>
        </is>
      </c>
      <c r="F1328" s="3" t="inlineStr">
        <is>
          <t>whole class</t>
        </is>
      </c>
      <c r="G1328" s="2" t="n">
        <v>5</v>
      </c>
      <c r="H1328" s="2" t="n">
        <v>5</v>
      </c>
      <c r="I1328" s="3" t="inlineStr">
        <is>
          <t>consilium/consilium_core/tests/test_notification_templates.py</t>
        </is>
      </c>
    </row>
    <row r="1329" ht="30" customHeight="1">
      <c r="A1329" s="2" t="inlineStr">
        <is>
          <t>O-4</t>
        </is>
      </c>
      <c r="B1329" s="3" t="inlineStr">
        <is>
          <t>Supplementary</t>
        </is>
      </c>
      <c r="C1329" s="3" t="inlineStr">
        <is>
          <t>consilium_core.tests.test_notification_templates</t>
        </is>
      </c>
      <c r="D1329" s="3" t="inlineStr">
        <is>
          <t>TestTemplateFailures</t>
        </is>
      </c>
      <c r="E1329" s="3" t="inlineStr">
        <is>
          <t>test_a_template_reaching_for_internals_is_refused</t>
        </is>
      </c>
      <c r="F1329" s="3" t="inlineStr">
        <is>
          <t>whole class</t>
        </is>
      </c>
      <c r="G1329" s="2" t="n">
        <v>5</v>
      </c>
      <c r="H1329" s="2" t="n">
        <v>5</v>
      </c>
      <c r="I1329" s="3" t="inlineStr">
        <is>
          <t>consilium/consilium_core/tests/test_notification_templates.py</t>
        </is>
      </c>
    </row>
    <row r="1330" ht="30" customHeight="1">
      <c r="A1330" s="2" t="inlineStr">
        <is>
          <t>O-4</t>
        </is>
      </c>
      <c r="B1330" s="3" t="inlineStr">
        <is>
          <t>Supplementary</t>
        </is>
      </c>
      <c r="C1330" s="3" t="inlineStr">
        <is>
          <t>consilium_core.tests.test_notification_templates</t>
        </is>
      </c>
      <c r="D1330" s="3" t="inlineStr">
        <is>
          <t>TestTemplateFailures</t>
        </is>
      </c>
      <c r="E1330" s="3" t="inlineStr">
        <is>
          <t>test_a_template_that_fails_to_render_falls_back_and_is_logged</t>
        </is>
      </c>
      <c r="F1330" s="3" t="inlineStr">
        <is>
          <t>whole class</t>
        </is>
      </c>
      <c r="G1330" s="2" t="n">
        <v>5</v>
      </c>
      <c r="H1330" s="2" t="n">
        <v>5</v>
      </c>
      <c r="I1330" s="3" t="inlineStr">
        <is>
          <t>consilium/consilium_core/tests/test_notification_templates.py</t>
        </is>
      </c>
    </row>
    <row r="1331" ht="30" customHeight="1">
      <c r="A1331" s="2" t="inlineStr">
        <is>
          <t>O-4</t>
        </is>
      </c>
      <c r="B1331" s="3" t="inlineStr">
        <is>
          <t>Supplementary</t>
        </is>
      </c>
      <c r="C1331" s="3" t="inlineStr">
        <is>
          <t>consilium_core.tests.test_notification_templates</t>
        </is>
      </c>
      <c r="D1331" s="3" t="inlineStr">
        <is>
          <t>TestTemplateFailures</t>
        </is>
      </c>
      <c r="E1331" s="3" t="inlineStr">
        <is>
          <t>test_a_broken_template_does_not_stop_the_next_recipient_or_event</t>
        </is>
      </c>
      <c r="F1331" s="3" t="inlineStr">
        <is>
          <t>whole class</t>
        </is>
      </c>
      <c r="G1331" s="2" t="n">
        <v>5</v>
      </c>
      <c r="H1331" s="2" t="n">
        <v>5</v>
      </c>
      <c r="I1331" s="3" t="inlineStr">
        <is>
          <t>consilium/consilium_core/tests/test_notification_templates.py</t>
        </is>
      </c>
    </row>
    <row r="1332" ht="30" customHeight="1">
      <c r="A1332" s="2" t="inlineStr">
        <is>
          <t>O-4</t>
        </is>
      </c>
      <c r="B1332" s="3" t="inlineStr">
        <is>
          <t>Supplementary</t>
        </is>
      </c>
      <c r="C1332" s="3" t="inlineStr">
        <is>
          <t>consilium_core.tests.test_notification_templates</t>
        </is>
      </c>
      <c r="D1332" s="3" t="inlineStr">
        <is>
          <t>TestTemplateFailures</t>
        </is>
      </c>
      <c r="E1332" s="3" t="inlineStr">
        <is>
          <t>test_a_dispatch_that_raises_does_not_stop_the_next_recipient</t>
        </is>
      </c>
      <c r="F1332" s="3" t="inlineStr">
        <is>
          <t>whole class</t>
        </is>
      </c>
      <c r="G1332" s="2" t="n">
        <v>5</v>
      </c>
      <c r="H1332" s="2" t="n">
        <v>5</v>
      </c>
      <c r="I1332" s="3" t="inlineStr">
        <is>
          <t>consilium/consilium_core/tests/test_notification_templates.py</t>
        </is>
      </c>
    </row>
    <row r="1333" ht="30" customHeight="1">
      <c r="A1333" s="2" t="inlineStr">
        <is>
          <t>O-4</t>
        </is>
      </c>
      <c r="B1333" s="3" t="inlineStr">
        <is>
          <t>Supplementary</t>
        </is>
      </c>
      <c r="C1333" s="3" t="inlineStr">
        <is>
          <t>consilium_core.tests.test_notification_templates</t>
        </is>
      </c>
      <c r="D1333" s="3" t="inlineStr">
        <is>
          <t>TestEmailRetry</t>
        </is>
      </c>
      <c r="E1333" s="3" t="inlineStr">
        <is>
          <t>test_a_message_the_mail_server_refused_is_sent_again</t>
        </is>
      </c>
      <c r="F1333" s="3" t="inlineStr">
        <is>
          <t>whole class</t>
        </is>
      </c>
      <c r="G1333" s="2" t="n">
        <v>3</v>
      </c>
      <c r="H1333" s="2" t="n">
        <v>3</v>
      </c>
      <c r="I1333" s="3" t="inlineStr">
        <is>
          <t>consilium/consilium_core/tests/test_notification_templates.py</t>
        </is>
      </c>
    </row>
    <row r="1334" ht="30" customHeight="1">
      <c r="A1334" s="2" t="inlineStr">
        <is>
          <t>O-4</t>
        </is>
      </c>
      <c r="B1334" s="3" t="inlineStr">
        <is>
          <t>Supplementary</t>
        </is>
      </c>
      <c r="C1334" s="3" t="inlineStr">
        <is>
          <t>consilium_core.tests.test_notification_templates</t>
        </is>
      </c>
      <c r="D1334" s="3" t="inlineStr">
        <is>
          <t>TestEmailRetry</t>
        </is>
      </c>
      <c r="E1334" s="3" t="inlineStr">
        <is>
          <t>test_queueing_that_fails_is_retried_by_the_hourly_job</t>
        </is>
      </c>
      <c r="F1334" s="3" t="inlineStr">
        <is>
          <t>whole class</t>
        </is>
      </c>
      <c r="G1334" s="2" t="n">
        <v>3</v>
      </c>
      <c r="H1334" s="2" t="n">
        <v>3</v>
      </c>
      <c r="I1334" s="3" t="inlineStr">
        <is>
          <t>consilium/consilium_core/tests/test_notification_templates.py</t>
        </is>
      </c>
    </row>
    <row r="1335" ht="30" customHeight="1">
      <c r="A1335" s="2" t="inlineStr">
        <is>
          <t>O-4</t>
        </is>
      </c>
      <c r="B1335" s="3" t="inlineStr">
        <is>
          <t>Supplementary</t>
        </is>
      </c>
      <c r="C1335" s="3" t="inlineStr">
        <is>
          <t>consilium_core.tests.test_notification_templates</t>
        </is>
      </c>
      <c r="D1335" s="3" t="inlineStr">
        <is>
          <t>TestEmailRetry</t>
        </is>
      </c>
      <c r="E1335" s="3" t="inlineStr">
        <is>
          <t>test_retries_stop_after_the_limit</t>
        </is>
      </c>
      <c r="F1335" s="3" t="inlineStr">
        <is>
          <t>whole class</t>
        </is>
      </c>
      <c r="G1335" s="2" t="n">
        <v>3</v>
      </c>
      <c r="H1335" s="2" t="n">
        <v>3</v>
      </c>
      <c r="I1335" s="3" t="inlineStr">
        <is>
          <t>consilium/consilium_core/tests/test_notification_templates.py</t>
        </is>
      </c>
    </row>
    <row r="1336" ht="17" customHeight="1">
      <c r="A1336" s="2" t="inlineStr">
        <is>
          <t>O-4</t>
        </is>
      </c>
      <c r="B1336" s="3" t="inlineStr">
        <is>
          <t>Supplementary</t>
        </is>
      </c>
      <c r="C1336" s="3" t="inlineStr">
        <is>
          <t>consilium_core.tests.test_notification</t>
        </is>
      </c>
      <c r="D1336" s="3" t="inlineStr">
        <is>
          <t>TestNotification</t>
        </is>
      </c>
      <c r="E1336" s="3" t="inlineStr">
        <is>
          <t>test_a_successful_send_is_recorded_as_evidence</t>
        </is>
      </c>
      <c r="F1336" s="3" t="inlineStr">
        <is>
          <t>whole class</t>
        </is>
      </c>
      <c r="G1336" s="2" t="n">
        <v>6</v>
      </c>
      <c r="H1336" s="2" t="n">
        <v>6</v>
      </c>
      <c r="I1336" s="3" t="inlineStr">
        <is>
          <t>consilium/consilium_core/tests/test_notification.py</t>
        </is>
      </c>
    </row>
    <row r="1337" ht="17" customHeight="1">
      <c r="A1337" s="2" t="inlineStr">
        <is>
          <t>O-4</t>
        </is>
      </c>
      <c r="B1337" s="3" t="inlineStr">
        <is>
          <t>Supplementary</t>
        </is>
      </c>
      <c r="C1337" s="3" t="inlineStr">
        <is>
          <t>consilium_core.tests.test_notification</t>
        </is>
      </c>
      <c r="D1337" s="3" t="inlineStr">
        <is>
          <t>TestNotification</t>
        </is>
      </c>
      <c r="E1337" s="3" t="inlineStr">
        <is>
          <t>test_a_failure_is_recorded_and_falls_back</t>
        </is>
      </c>
      <c r="F1337" s="3" t="inlineStr">
        <is>
          <t>whole class</t>
        </is>
      </c>
      <c r="G1337" s="2" t="n">
        <v>6</v>
      </c>
      <c r="H1337" s="2" t="n">
        <v>6</v>
      </c>
      <c r="I1337" s="3" t="inlineStr">
        <is>
          <t>consilium/consilium_core/tests/test_notification.py</t>
        </is>
      </c>
    </row>
    <row r="1338" ht="17" customHeight="1">
      <c r="A1338" s="2" t="inlineStr">
        <is>
          <t>O-4</t>
        </is>
      </c>
      <c r="B1338" s="3" t="inlineStr">
        <is>
          <t>Supplementary</t>
        </is>
      </c>
      <c r="C1338" s="3" t="inlineStr">
        <is>
          <t>consilium_core.tests.test_notification</t>
        </is>
      </c>
      <c r="D1338" s="3" t="inlineStr">
        <is>
          <t>TestNotification</t>
        </is>
      </c>
      <c r="E1338" s="3" t="inlineStr">
        <is>
          <t>test_a_failure_without_a_fallback_stays_failed</t>
        </is>
      </c>
      <c r="F1338" s="3" t="inlineStr">
        <is>
          <t>whole class</t>
        </is>
      </c>
      <c r="G1338" s="2" t="n">
        <v>6</v>
      </c>
      <c r="H1338" s="2" t="n">
        <v>6</v>
      </c>
      <c r="I1338" s="3" t="inlineStr">
        <is>
          <t>consilium/consilium_core/tests/test_notification.py</t>
        </is>
      </c>
    </row>
    <row r="1339" ht="17" customHeight="1">
      <c r="A1339" s="2" t="inlineStr">
        <is>
          <t>O-4</t>
        </is>
      </c>
      <c r="B1339" s="3" t="inlineStr">
        <is>
          <t>Supplementary</t>
        </is>
      </c>
      <c r="C1339" s="3" t="inlineStr">
        <is>
          <t>consilium_core.tests.test_notification</t>
        </is>
      </c>
      <c r="D1339" s="3" t="inlineStr">
        <is>
          <t>TestNotification</t>
        </is>
      </c>
      <c r="E1339" s="3" t="inlineStr">
        <is>
          <t>test_an_inactive_channel_suppresses_rather_than_pretends</t>
        </is>
      </c>
      <c r="F1339" s="3" t="inlineStr">
        <is>
          <t>whole class</t>
        </is>
      </c>
      <c r="G1339" s="2" t="n">
        <v>6</v>
      </c>
      <c r="H1339" s="2" t="n">
        <v>6</v>
      </c>
      <c r="I1339" s="3" t="inlineStr">
        <is>
          <t>consilium/consilium_core/tests/test_notification.py</t>
        </is>
      </c>
    </row>
    <row r="1340" ht="17" customHeight="1">
      <c r="A1340" s="2" t="inlineStr">
        <is>
          <t>O-4</t>
        </is>
      </c>
      <c r="B1340" s="3" t="inlineStr">
        <is>
          <t>Supplementary</t>
        </is>
      </c>
      <c r="C1340" s="3" t="inlineStr">
        <is>
          <t>consilium_core.tests.test_notification</t>
        </is>
      </c>
      <c r="D1340" s="3" t="inlineStr">
        <is>
          <t>TestNotification</t>
        </is>
      </c>
      <c r="E1340" s="3" t="inlineStr">
        <is>
          <t>test_an_unknown_adapter_is_refused_at_configuration_time</t>
        </is>
      </c>
      <c r="F1340" s="3" t="inlineStr">
        <is>
          <t>whole class</t>
        </is>
      </c>
      <c r="G1340" s="2" t="n">
        <v>6</v>
      </c>
      <c r="H1340" s="2" t="n">
        <v>6</v>
      </c>
      <c r="I1340" s="3" t="inlineStr">
        <is>
          <t>consilium/consilium_core/tests/test_notification.py</t>
        </is>
      </c>
    </row>
    <row r="1341" ht="17" customHeight="1">
      <c r="A1341" s="2" t="inlineStr">
        <is>
          <t>O-4</t>
        </is>
      </c>
      <c r="B1341" s="3" t="inlineStr">
        <is>
          <t>Supplementary</t>
        </is>
      </c>
      <c r="C1341" s="3" t="inlineStr">
        <is>
          <t>consilium_core.tests.test_notification</t>
        </is>
      </c>
      <c r="D1341" s="3" t="inlineStr">
        <is>
          <t>TestNotification</t>
        </is>
      </c>
      <c r="E1341" s="3" t="inlineStr">
        <is>
          <t>test_a_fallback_cycle_is_refused</t>
        </is>
      </c>
      <c r="F1341" s="3" t="inlineStr">
        <is>
          <t>whole class</t>
        </is>
      </c>
      <c r="G1341" s="2" t="n">
        <v>6</v>
      </c>
      <c r="H1341" s="2" t="n">
        <v>6</v>
      </c>
      <c r="I1341" s="3" t="inlineStr">
        <is>
          <t>consilium/consilium_core/tests/test_notification.py</t>
        </is>
      </c>
    </row>
    <row r="1342" ht="17" customHeight="1">
      <c r="A1342" s="2" t="inlineStr">
        <is>
          <t>O-4</t>
        </is>
      </c>
      <c r="B1342" s="3" t="inlineStr">
        <is>
          <t>Supplementary</t>
        </is>
      </c>
      <c r="C1342" s="3" t="inlineStr">
        <is>
          <t>governance.tests.test_formation</t>
        </is>
      </c>
      <c r="D1342" s="3" t="inlineStr">
        <is>
          <t>TestReturnToOriginator</t>
        </is>
      </c>
      <c r="E1342" s="3" t="inlineStr">
        <is>
          <t>test_the_originator_is_notified</t>
        </is>
      </c>
      <c r="F1342" s="3" t="inlineStr">
        <is>
          <t>named method</t>
        </is>
      </c>
      <c r="G1342" s="2" t="n"/>
      <c r="H1342" s="2" t="n">
        <v>1</v>
      </c>
      <c r="I1342" s="3" t="inlineStr">
        <is>
          <t>consilium/governance/tests/test_formation.py</t>
        </is>
      </c>
    </row>
    <row r="1343" ht="17" customHeight="1">
      <c r="A1343" s="2" t="inlineStr">
        <is>
          <t>O-4</t>
        </is>
      </c>
      <c r="B1343" s="3" t="inlineStr">
        <is>
          <t>Supplementary</t>
        </is>
      </c>
      <c r="C1343" s="3" t="inlineStr">
        <is>
          <t>governance.tests.test_lifecycle</t>
        </is>
      </c>
      <c r="D1343" s="3" t="inlineStr">
        <is>
          <t>TestWatchedFields</t>
        </is>
      </c>
      <c r="E1343" s="3" t="inlineStr">
        <is>
          <t>test_compliance_is_notified_and_a_task_is_raised</t>
        </is>
      </c>
      <c r="F1343" s="3" t="inlineStr">
        <is>
          <t>named method</t>
        </is>
      </c>
      <c r="G1343" s="2" t="n"/>
      <c r="H1343" s="2" t="n">
        <v>1</v>
      </c>
      <c r="I1343" s="3" t="inlineStr">
        <is>
          <t>consilium/governance/tests/test_lifecycle.py</t>
        </is>
      </c>
    </row>
    <row r="1344" ht="17" customHeight="1">
      <c r="A1344" s="2" t="inlineStr">
        <is>
          <t>O-4</t>
        </is>
      </c>
      <c r="B1344" s="3" t="inlineStr">
        <is>
          <t>Supplementary</t>
        </is>
      </c>
      <c r="C1344" s="3" t="inlineStr">
        <is>
          <t>governance.tests.test_governance_gaps</t>
        </is>
      </c>
      <c r="D1344" s="3" t="inlineStr">
        <is>
          <t>TestDisbandmentPortal</t>
        </is>
      </c>
      <c r="E1344" s="3" t="inlineStr">
        <is>
          <t>test_raising_names_g11s_approvers_and_asks_them</t>
        </is>
      </c>
      <c r="F1344" s="3" t="inlineStr">
        <is>
          <t>named method</t>
        </is>
      </c>
      <c r="G1344" s="2" t="n"/>
      <c r="H1344" s="2" t="n">
        <v>1</v>
      </c>
      <c r="I1344" s="3" t="inlineStr">
        <is>
          <t>consilium/governance/tests/test_governance_gaps.py</t>
        </is>
      </c>
    </row>
    <row r="1345" ht="17" customHeight="1">
      <c r="A1345" s="2" t="inlineStr">
        <is>
          <t>O-5</t>
        </is>
      </c>
      <c r="B1345" s="3" t="inlineStr">
        <is>
          <t>Supplementary</t>
        </is>
      </c>
      <c r="C1345" s="3" t="inlineStr">
        <is>
          <t>governance.tests.test_governance_gaps</t>
        </is>
      </c>
      <c r="D1345" s="3" t="inlineStr">
        <is>
          <t>TestForumEscalations</t>
        </is>
      </c>
      <c r="E1345" s="3" t="inlineStr">
        <is>
          <t>test_restricted_matters_appear_only_to_the_cleared</t>
        </is>
      </c>
      <c r="F1345" s="3" t="inlineStr">
        <is>
          <t>whole class</t>
        </is>
      </c>
      <c r="G1345" s="2" t="n">
        <v>3</v>
      </c>
      <c r="H1345" s="2" t="n">
        <v>3</v>
      </c>
      <c r="I1345" s="3" t="inlineStr">
        <is>
          <t>consilium/governance/tests/test_governance_gaps.py</t>
        </is>
      </c>
    </row>
    <row r="1346" ht="17" customHeight="1">
      <c r="A1346" s="2" t="inlineStr">
        <is>
          <t>O-5</t>
        </is>
      </c>
      <c r="B1346" s="3" t="inlineStr">
        <is>
          <t>Supplementary</t>
        </is>
      </c>
      <c r="C1346" s="3" t="inlineStr">
        <is>
          <t>governance.tests.test_governance_gaps</t>
        </is>
      </c>
      <c r="D1346" s="3" t="inlineStr">
        <is>
          <t>TestForumEscalations</t>
        </is>
      </c>
      <c r="E1346" s="3" t="inlineStr">
        <is>
          <t>test_a_viewer_without_escalation_access_is_told_so</t>
        </is>
      </c>
      <c r="F1346" s="3" t="inlineStr">
        <is>
          <t>whole class</t>
        </is>
      </c>
      <c r="G1346" s="2" t="n">
        <v>3</v>
      </c>
      <c r="H1346" s="2" t="n">
        <v>3</v>
      </c>
      <c r="I1346" s="3" t="inlineStr">
        <is>
          <t>consilium/governance/tests/test_governance_gaps.py</t>
        </is>
      </c>
    </row>
    <row r="1347" ht="17" customHeight="1">
      <c r="A1347" s="2" t="inlineStr">
        <is>
          <t>O-5</t>
        </is>
      </c>
      <c r="B1347" s="3" t="inlineStr">
        <is>
          <t>Supplementary</t>
        </is>
      </c>
      <c r="C1347" s="3" t="inlineStr">
        <is>
          <t>governance.tests.test_governance_gaps</t>
        </is>
      </c>
      <c r="D1347" s="3" t="inlineStr">
        <is>
          <t>TestForumEscalations</t>
        </is>
      </c>
      <c r="E1347" s="3" t="inlineStr">
        <is>
          <t>test_a_viewer_who_cannot_read_the_forum_is_refused</t>
        </is>
      </c>
      <c r="F1347" s="3" t="inlineStr">
        <is>
          <t>whole class</t>
        </is>
      </c>
      <c r="G1347" s="2" t="n">
        <v>3</v>
      </c>
      <c r="H1347" s="2" t="n">
        <v>3</v>
      </c>
      <c r="I1347" s="3" t="inlineStr">
        <is>
          <t>consilium/governance/tests/test_governance_gaps.py</t>
        </is>
      </c>
    </row>
    <row r="1348" ht="17" customHeight="1">
      <c r="A1348" s="2" t="inlineStr">
        <is>
          <t>O-5</t>
        </is>
      </c>
      <c r="B1348" s="3" t="inlineStr">
        <is>
          <t>Supplementary</t>
        </is>
      </c>
      <c r="C1348" s="3" t="inlineStr">
        <is>
          <t>governance.tests.test_governance_gaps</t>
        </is>
      </c>
      <c r="D1348" s="3" t="inlineStr">
        <is>
          <t>TestPages</t>
        </is>
      </c>
      <c r="E1348" s="3" t="inlineStr">
        <is>
          <t>test_the_pages_render_with_their_new_sections</t>
        </is>
      </c>
      <c r="F1348" s="3" t="inlineStr">
        <is>
          <t>named method</t>
        </is>
      </c>
      <c r="G1348" s="2" t="n"/>
      <c r="H1348" s="2" t="n">
        <v>1</v>
      </c>
      <c r="I1348" s="3" t="inlineStr">
        <is>
          <t>consilium/governance/tests/test_governance_gaps.py</t>
        </is>
      </c>
    </row>
    <row r="1349" ht="17" customHeight="1">
      <c r="A1349" s="2" t="inlineStr">
        <is>
          <t>O-6</t>
        </is>
      </c>
      <c r="B1349" s="3" t="inlineStr">
        <is>
          <t>Supplementary</t>
        </is>
      </c>
      <c r="C1349" s="3" t="inlineStr">
        <is>
          <t>consilium_core.tests.test_ai_features</t>
        </is>
      </c>
      <c r="D1349" s="3" t="inlineStr">
        <is>
          <t>TestGaps</t>
        </is>
      </c>
      <c r="E1349" s="3" t="inlineStr">
        <is>
          <t>test_forum_policy_regulatory_and_coverage_gaps_are_found</t>
        </is>
      </c>
      <c r="F1349" s="3" t="inlineStr">
        <is>
          <t>whole class</t>
        </is>
      </c>
      <c r="G1349" s="2" t="n">
        <v>3</v>
      </c>
      <c r="H1349" s="2" t="n">
        <v>3</v>
      </c>
      <c r="I1349" s="3" t="inlineStr">
        <is>
          <t>consilium/consilium_core/tests/test_ai_features.py</t>
        </is>
      </c>
    </row>
    <row r="1350" ht="17" customHeight="1">
      <c r="A1350" s="2" t="inlineStr">
        <is>
          <t>O-6</t>
        </is>
      </c>
      <c r="B1350" s="3" t="inlineStr">
        <is>
          <t>Supplementary</t>
        </is>
      </c>
      <c r="C1350" s="3" t="inlineStr">
        <is>
          <t>consilium_core.tests.test_ai_features</t>
        </is>
      </c>
      <c r="D1350" s="3" t="inlineStr">
        <is>
          <t>TestGaps</t>
        </is>
      </c>
      <c r="E1350" s="3" t="inlineStr">
        <is>
          <t>test_an_escalation_type_no_rule_names_is_reported</t>
        </is>
      </c>
      <c r="F1350" s="3" t="inlineStr">
        <is>
          <t>whole class</t>
        </is>
      </c>
      <c r="G1350" s="2" t="n">
        <v>3</v>
      </c>
      <c r="H1350" s="2" t="n">
        <v>3</v>
      </c>
      <c r="I1350" s="3" t="inlineStr">
        <is>
          <t>consilium/consilium_core/tests/test_ai_features.py</t>
        </is>
      </c>
    </row>
    <row r="1351" ht="30" customHeight="1">
      <c r="A1351" s="2" t="inlineStr">
        <is>
          <t>O-6</t>
        </is>
      </c>
      <c r="B1351" s="3" t="inlineStr">
        <is>
          <t>Supplementary</t>
        </is>
      </c>
      <c r="C1351" s="3" t="inlineStr">
        <is>
          <t>consilium_core.tests.test_ai_features</t>
        </is>
      </c>
      <c r="D1351" s="3" t="inlineStr">
        <is>
          <t>TestGaps</t>
        </is>
      </c>
      <c r="E1351" s="3" t="inlineStr">
        <is>
          <t>test_commentary_is_sent_with_tokens_and_falls_back_on_failure</t>
        </is>
      </c>
      <c r="F1351" s="3" t="inlineStr">
        <is>
          <t>whole class</t>
        </is>
      </c>
      <c r="G1351" s="2" t="n">
        <v>3</v>
      </c>
      <c r="H1351" s="2" t="n">
        <v>3</v>
      </c>
      <c r="I1351" s="3" t="inlineStr">
        <is>
          <t>consilium/consilium_core/tests/test_ai_features.py</t>
        </is>
      </c>
    </row>
    <row r="1352" ht="30" customHeight="1">
      <c r="A1352" s="2" t="inlineStr">
        <is>
          <t>O-6</t>
        </is>
      </c>
      <c r="B1352" s="3" t="inlineStr">
        <is>
          <t>Supplementary</t>
        </is>
      </c>
      <c r="C1352" s="3" t="inlineStr">
        <is>
          <t>consilium_core.tests.test_ai_features</t>
        </is>
      </c>
      <c r="D1352" s="3" t="inlineStr">
        <is>
          <t>TestImpact</t>
        </is>
      </c>
      <c r="E1352" s="3" t="inlineStr">
        <is>
          <t>test_the_rule_based_impact_reaches_lineage_regulation_forums_monitoring_and_violations</t>
        </is>
      </c>
      <c r="F1352" s="3" t="inlineStr">
        <is>
          <t>whole class</t>
        </is>
      </c>
      <c r="G1352" s="2" t="n">
        <v>11</v>
      </c>
      <c r="H1352" s="2" t="n">
        <v>11</v>
      </c>
      <c r="I1352" s="3" t="inlineStr">
        <is>
          <t>consilium/consilium_core/tests/test_ai_features.py</t>
        </is>
      </c>
    </row>
    <row r="1353" ht="17" customHeight="1">
      <c r="A1353" s="2" t="inlineStr">
        <is>
          <t>O-6</t>
        </is>
      </c>
      <c r="B1353" s="3" t="inlineStr">
        <is>
          <t>Supplementary</t>
        </is>
      </c>
      <c r="C1353" s="3" t="inlineStr">
        <is>
          <t>consilium_core.tests.test_ai_features</t>
        </is>
      </c>
      <c r="D1353" s="3" t="inlineStr">
        <is>
          <t>TestImpact</t>
        </is>
      </c>
      <c r="E1353" s="3" t="inlineStr">
        <is>
          <t>test_sections_touched_by_a_change</t>
        </is>
      </c>
      <c r="F1353" s="3" t="inlineStr">
        <is>
          <t>whole class</t>
        </is>
      </c>
      <c r="G1353" s="2" t="n">
        <v>11</v>
      </c>
      <c r="H1353" s="2" t="n">
        <v>11</v>
      </c>
      <c r="I1353" s="3" t="inlineStr">
        <is>
          <t>consilium/consilium_core/tests/test_ai_features.py</t>
        </is>
      </c>
    </row>
    <row r="1354" ht="17" customHeight="1">
      <c r="A1354" s="2" t="inlineStr">
        <is>
          <t>O-6</t>
        </is>
      </c>
      <c r="B1354" s="3" t="inlineStr">
        <is>
          <t>Supplementary</t>
        </is>
      </c>
      <c r="C1354" s="3" t="inlineStr">
        <is>
          <t>consilium_core.tests.test_ai_features</t>
        </is>
      </c>
      <c r="D1354" s="3" t="inlineStr">
        <is>
          <t>TestImpact</t>
        </is>
      </c>
      <c r="E1354" s="3" t="inlineStr">
        <is>
          <t>test_a_reader_without_access_to_the_document_is_refused</t>
        </is>
      </c>
      <c r="F1354" s="3" t="inlineStr">
        <is>
          <t>whole class</t>
        </is>
      </c>
      <c r="G1354" s="2" t="n">
        <v>11</v>
      </c>
      <c r="H1354" s="2" t="n">
        <v>11</v>
      </c>
      <c r="I1354" s="3" t="inlineStr">
        <is>
          <t>consilium/consilium_core/tests/test_ai_features.py</t>
        </is>
      </c>
    </row>
    <row r="1355" ht="17" customHeight="1">
      <c r="A1355" s="2" t="inlineStr">
        <is>
          <t>O-6</t>
        </is>
      </c>
      <c r="B1355" s="3" t="inlineStr">
        <is>
          <t>Supplementary</t>
        </is>
      </c>
      <c r="C1355" s="3" t="inlineStr">
        <is>
          <t>consilium_core.tests.test_ai_features</t>
        </is>
      </c>
      <c r="D1355" s="3" t="inlineStr">
        <is>
          <t>TestImpact</t>
        </is>
      </c>
      <c r="E1355" s="3" t="inlineStr">
        <is>
          <t>test_ai_off_means_nothing_is_sent_and_nothing_recorded</t>
        </is>
      </c>
      <c r="F1355" s="3" t="inlineStr">
        <is>
          <t>whole class</t>
        </is>
      </c>
      <c r="G1355" s="2" t="n">
        <v>11</v>
      </c>
      <c r="H1355" s="2" t="n">
        <v>11</v>
      </c>
      <c r="I1355" s="3" t="inlineStr">
        <is>
          <t>consilium/consilium_core/tests/test_ai_features.py</t>
        </is>
      </c>
    </row>
    <row r="1356" ht="17" customHeight="1">
      <c r="A1356" s="2" t="inlineStr">
        <is>
          <t>O-6</t>
        </is>
      </c>
      <c r="B1356" s="3" t="inlineStr">
        <is>
          <t>Supplementary</t>
        </is>
      </c>
      <c r="C1356" s="3" t="inlineStr">
        <is>
          <t>consilium_core.tests.test_ai_features</t>
        </is>
      </c>
      <c r="D1356" s="3" t="inlineStr">
        <is>
          <t>TestImpact</t>
        </is>
      </c>
      <c r="E1356" s="3" t="inlineStr">
        <is>
          <t>test_a_role_that_may_not_spend_requests_is_refused</t>
        </is>
      </c>
      <c r="F1356" s="3" t="inlineStr">
        <is>
          <t>whole class</t>
        </is>
      </c>
      <c r="G1356" s="2" t="n">
        <v>11</v>
      </c>
      <c r="H1356" s="2" t="n">
        <v>11</v>
      </c>
      <c r="I1356" s="3" t="inlineStr">
        <is>
          <t>consilium/consilium_core/tests/test_ai_features.py</t>
        </is>
      </c>
    </row>
    <row r="1357" ht="30" customHeight="1">
      <c r="A1357" s="2" t="inlineStr">
        <is>
          <t>O-6</t>
        </is>
      </c>
      <c r="B1357" s="3" t="inlineStr">
        <is>
          <t>Supplementary</t>
        </is>
      </c>
      <c r="C1357" s="3" t="inlineStr">
        <is>
          <t>consilium_core.tests.test_ai_features</t>
        </is>
      </c>
      <c r="D1357" s="3" t="inlineStr">
        <is>
          <t>TestImpact</t>
        </is>
      </c>
      <c r="E1357" s="3" t="inlineStr">
        <is>
          <t>test_happy_path_is_audited_links_tokens_and_sends_no_titles_in_guidance_mode</t>
        </is>
      </c>
      <c r="F1357" s="3" t="inlineStr">
        <is>
          <t>whole class</t>
        </is>
      </c>
      <c r="G1357" s="2" t="n">
        <v>11</v>
      </c>
      <c r="H1357" s="2" t="n">
        <v>11</v>
      </c>
      <c r="I1357" s="3" t="inlineStr">
        <is>
          <t>consilium/consilium_core/tests/test_ai_features.py</t>
        </is>
      </c>
    </row>
    <row r="1358" ht="17" customHeight="1">
      <c r="A1358" s="2" t="inlineStr">
        <is>
          <t>O-6</t>
        </is>
      </c>
      <c r="B1358" s="3" t="inlineStr">
        <is>
          <t>Supplementary</t>
        </is>
      </c>
      <c r="C1358" s="3" t="inlineStr">
        <is>
          <t>consilium_core.tests.test_ai_features</t>
        </is>
      </c>
      <c r="D1358" s="3" t="inlineStr">
        <is>
          <t>TestImpact</t>
        </is>
      </c>
      <c r="E1358" s="3" t="inlineStr">
        <is>
          <t>test_summary_mode_includes_titles_the_reader_may_read</t>
        </is>
      </c>
      <c r="F1358" s="3" t="inlineStr">
        <is>
          <t>whole class</t>
        </is>
      </c>
      <c r="G1358" s="2" t="n">
        <v>11</v>
      </c>
      <c r="H1358" s="2" t="n">
        <v>11</v>
      </c>
      <c r="I1358" s="3" t="inlineStr">
        <is>
          <t>consilium/consilium_core/tests/test_ai_features.py</t>
        </is>
      </c>
    </row>
    <row r="1359" ht="30" customHeight="1">
      <c r="A1359" s="2" t="inlineStr">
        <is>
          <t>O-6</t>
        </is>
      </c>
      <c r="B1359" s="3" t="inlineStr">
        <is>
          <t>Supplementary</t>
        </is>
      </c>
      <c r="C1359" s="3" t="inlineStr">
        <is>
          <t>consilium_core.tests.test_ai_features</t>
        </is>
      </c>
      <c r="D1359" s="3" t="inlineStr">
        <is>
          <t>TestImpact</t>
        </is>
      </c>
      <c r="E1359" s="3" t="inlineStr">
        <is>
          <t>test_a_subject_above_the_ceiling_is_refused_and_the_refusal_recorded</t>
        </is>
      </c>
      <c r="F1359" s="3" t="inlineStr">
        <is>
          <t>whole class</t>
        </is>
      </c>
      <c r="G1359" s="2" t="n">
        <v>11</v>
      </c>
      <c r="H1359" s="2" t="n">
        <v>11</v>
      </c>
      <c r="I1359" s="3" t="inlineStr">
        <is>
          <t>consilium/consilium_core/tests/test_ai_features.py</t>
        </is>
      </c>
    </row>
    <row r="1360" ht="17" customHeight="1">
      <c r="A1360" s="2" t="inlineStr">
        <is>
          <t>O-6</t>
        </is>
      </c>
      <c r="B1360" s="3" t="inlineStr">
        <is>
          <t>Supplementary</t>
        </is>
      </c>
      <c r="C1360" s="3" t="inlineStr">
        <is>
          <t>consilium_core.tests.test_ai_features</t>
        </is>
      </c>
      <c r="D1360" s="3" t="inlineStr">
        <is>
          <t>TestImpact</t>
        </is>
      </c>
      <c r="E1360" s="3" t="inlineStr">
        <is>
          <t>test_a_timeout_falls_back_to_the_rule_based_result</t>
        </is>
      </c>
      <c r="F1360" s="3" t="inlineStr">
        <is>
          <t>whole class</t>
        </is>
      </c>
      <c r="G1360" s="2" t="n">
        <v>11</v>
      </c>
      <c r="H1360" s="2" t="n">
        <v>11</v>
      </c>
      <c r="I1360" s="3" t="inlineStr">
        <is>
          <t>consilium/consilium_core/tests/test_ai_features.py</t>
        </is>
      </c>
    </row>
    <row r="1361" ht="17" customHeight="1">
      <c r="A1361" s="2" t="inlineStr">
        <is>
          <t>O-6</t>
        </is>
      </c>
      <c r="B1361" s="3" t="inlineStr">
        <is>
          <t>Supplementary</t>
        </is>
      </c>
      <c r="C1361" s="3" t="inlineStr">
        <is>
          <t>consilium_core.tests.test_ai_features</t>
        </is>
      </c>
      <c r="D1361" s="3" t="inlineStr">
        <is>
          <t>TestImpact</t>
        </is>
      </c>
      <c r="E1361" s="3" t="inlineStr">
        <is>
          <t>test_an_error_or_refusal_falls_back</t>
        </is>
      </c>
      <c r="F1361" s="3" t="inlineStr">
        <is>
          <t>whole class</t>
        </is>
      </c>
      <c r="G1361" s="2" t="n">
        <v>11</v>
      </c>
      <c r="H1361" s="2" t="n">
        <v>11</v>
      </c>
      <c r="I1361" s="3" t="inlineStr">
        <is>
          <t>consilium/consilium_core/tests/test_ai_features.py</t>
        </is>
      </c>
    </row>
    <row r="1362" ht="17" customHeight="1">
      <c r="A1362" s="2" t="inlineStr">
        <is>
          <t>O-6</t>
        </is>
      </c>
      <c r="B1362" s="3" t="inlineStr">
        <is>
          <t>Supplementary</t>
        </is>
      </c>
      <c r="C1362" s="3" t="inlineStr">
        <is>
          <t>consilium_core.tests.test_ai_features</t>
        </is>
      </c>
      <c r="D1362" s="3" t="inlineStr">
        <is>
          <t>TestImpact</t>
        </is>
      </c>
      <c r="E1362" s="3" t="inlineStr">
        <is>
          <t>test_the_hourly_limit_covers_analysis_requests</t>
        </is>
      </c>
      <c r="F1362" s="3" t="inlineStr">
        <is>
          <t>whole class</t>
        </is>
      </c>
      <c r="G1362" s="2" t="n">
        <v>11</v>
      </c>
      <c r="H1362" s="2" t="n">
        <v>11</v>
      </c>
      <c r="I1362" s="3" t="inlineStr">
        <is>
          <t>consilium/consilium_core/tests/test_ai_features.py</t>
        </is>
      </c>
    </row>
    <row r="1363" ht="17" customHeight="1">
      <c r="A1363" s="2" t="inlineStr">
        <is>
          <t>O-6</t>
        </is>
      </c>
      <c r="B1363" s="3" t="inlineStr">
        <is>
          <t>Supplementary</t>
        </is>
      </c>
      <c r="C1363" s="3" t="inlineStr">
        <is>
          <t>consilium_core.tests.test_ai_features</t>
        </is>
      </c>
      <c r="D1363" s="3" t="inlineStr">
        <is>
          <t>TestGuard</t>
        </is>
      </c>
      <c r="E1363" s="3" t="inlineStr">
        <is>
          <t>test_ceiling_and_the_classes_that_never_leave</t>
        </is>
      </c>
      <c r="F1363" s="3" t="inlineStr">
        <is>
          <t>whole class</t>
        </is>
      </c>
      <c r="G1363" s="2" t="n">
        <v>4</v>
      </c>
      <c r="H1363" s="2" t="n">
        <v>4</v>
      </c>
      <c r="I1363" s="3" t="inlineStr">
        <is>
          <t>consilium/consilium_core/tests/test_ai_features.py</t>
        </is>
      </c>
    </row>
    <row r="1364" ht="17" customHeight="1">
      <c r="A1364" s="2" t="inlineStr">
        <is>
          <t>O-6</t>
        </is>
      </c>
      <c r="B1364" s="3" t="inlineStr">
        <is>
          <t>Supplementary</t>
        </is>
      </c>
      <c r="C1364" s="3" t="inlineStr">
        <is>
          <t>consilium_core.tests.test_ai_features</t>
        </is>
      </c>
      <c r="D1364" s="3" t="inlineStr">
        <is>
          <t>TestGuard</t>
        </is>
      </c>
      <c r="E1364" s="3" t="inlineStr">
        <is>
          <t>test_tokens_are_stable_one_way_and_distinct</t>
        </is>
      </c>
      <c r="F1364" s="3" t="inlineStr">
        <is>
          <t>whole class</t>
        </is>
      </c>
      <c r="G1364" s="2" t="n">
        <v>4</v>
      </c>
      <c r="H1364" s="2" t="n">
        <v>4</v>
      </c>
      <c r="I1364" s="3" t="inlineStr">
        <is>
          <t>consilium/consilium_core/tests/test_ai_features.py</t>
        </is>
      </c>
    </row>
    <row r="1365" ht="30" customHeight="1">
      <c r="A1365" s="2" t="inlineStr">
        <is>
          <t>O-6</t>
        </is>
      </c>
      <c r="B1365" s="3" t="inlineStr">
        <is>
          <t>Supplementary</t>
        </is>
      </c>
      <c r="C1365" s="3" t="inlineStr">
        <is>
          <t>consilium_core.tests.test_ai_features</t>
        </is>
      </c>
      <c r="D1365" s="3" t="inlineStr">
        <is>
          <t>TestGuard</t>
        </is>
      </c>
      <c r="E1365" s="3" t="inlineStr">
        <is>
          <t>test_guidance_mode_sends_tokens_not_titles_and_counts_what_it_withheld</t>
        </is>
      </c>
      <c r="F1365" s="3" t="inlineStr">
        <is>
          <t>whole class</t>
        </is>
      </c>
      <c r="G1365" s="2" t="n">
        <v>4</v>
      </c>
      <c r="H1365" s="2" t="n">
        <v>4</v>
      </c>
      <c r="I1365" s="3" t="inlineStr">
        <is>
          <t>consilium/consilium_core/tests/test_ai_features.py</t>
        </is>
      </c>
    </row>
    <row r="1366" ht="17" customHeight="1">
      <c r="A1366" s="2" t="inlineStr">
        <is>
          <t>O-6</t>
        </is>
      </c>
      <c r="B1366" s="3" t="inlineStr">
        <is>
          <t>Supplementary</t>
        </is>
      </c>
      <c r="C1366" s="3" t="inlineStr">
        <is>
          <t>consilium_core.tests.test_ai_features</t>
        </is>
      </c>
      <c r="D1366" s="3" t="inlineStr">
        <is>
          <t>TestGuard</t>
        </is>
      </c>
      <c r="E1366" s="3" t="inlineStr">
        <is>
          <t>test_model_text_links_only_tokens_the_platform_sent</t>
        </is>
      </c>
      <c r="F1366" s="3" t="inlineStr">
        <is>
          <t>whole class</t>
        </is>
      </c>
      <c r="G1366" s="2" t="n">
        <v>4</v>
      </c>
      <c r="H1366" s="2" t="n">
        <v>4</v>
      </c>
      <c r="I1366" s="3" t="inlineStr">
        <is>
          <t>consilium/consilium_core/tests/test_ai_features.py</t>
        </is>
      </c>
    </row>
    <row r="1367" ht="17" customHeight="1">
      <c r="A1367" s="2" t="inlineStr">
        <is>
          <t>O-6</t>
        </is>
      </c>
      <c r="B1367" s="3" t="inlineStr">
        <is>
          <t>Supplementary</t>
        </is>
      </c>
      <c r="C1367" s="3" t="inlineStr">
        <is>
          <t>consilium_core.tests.test_ai_features</t>
        </is>
      </c>
      <c r="D1367" s="3" t="inlineStr">
        <is>
          <t>TestClient</t>
        </is>
      </c>
      <c r="E1367" s="3" t="inlineStr">
        <is>
          <t>test_endpoint_paths_for_both_formats</t>
        </is>
      </c>
      <c r="F1367" s="3" t="inlineStr">
        <is>
          <t>whole class</t>
        </is>
      </c>
      <c r="G1367" s="2" t="n">
        <v>3</v>
      </c>
      <c r="H1367" s="2" t="n">
        <v>3</v>
      </c>
      <c r="I1367" s="3" t="inlineStr">
        <is>
          <t>consilium/consilium_core/tests/test_ai_features.py</t>
        </is>
      </c>
    </row>
    <row r="1368" ht="17" customHeight="1">
      <c r="A1368" s="2" t="inlineStr">
        <is>
          <t>O-6</t>
        </is>
      </c>
      <c r="B1368" s="3" t="inlineStr">
        <is>
          <t>Supplementary</t>
        </is>
      </c>
      <c r="C1368" s="3" t="inlineStr">
        <is>
          <t>consilium_core.tests.test_ai_features</t>
        </is>
      </c>
      <c r="D1368" s="3" t="inlineStr">
        <is>
          <t>TestClient</t>
        </is>
      </c>
      <c r="E1368" s="3" t="inlineStr">
        <is>
          <t>test_parse_reads_only_text_and_refuses_what_it_cannot_use</t>
        </is>
      </c>
      <c r="F1368" s="3" t="inlineStr">
        <is>
          <t>whole class</t>
        </is>
      </c>
      <c r="G1368" s="2" t="n">
        <v>3</v>
      </c>
      <c r="H1368" s="2" t="n">
        <v>3</v>
      </c>
      <c r="I1368" s="3" t="inlineStr">
        <is>
          <t>consilium/consilium_core/tests/test_ai_features.py</t>
        </is>
      </c>
    </row>
    <row r="1369" ht="17" customHeight="1">
      <c r="A1369" s="2" t="inlineStr">
        <is>
          <t>O-6</t>
        </is>
      </c>
      <c r="B1369" s="3" t="inlineStr">
        <is>
          <t>Supplementary</t>
        </is>
      </c>
      <c r="C1369" s="3" t="inlineStr">
        <is>
          <t>consilium_core.tests.test_ai_features</t>
        </is>
      </c>
      <c r="D1369" s="3" t="inlineStr">
        <is>
          <t>TestClient</t>
        </is>
      </c>
      <c r="E1369" s="3" t="inlineStr">
        <is>
          <t>test_the_assistant_and_the_features_share_one_path</t>
        </is>
      </c>
      <c r="F1369" s="3" t="inlineStr">
        <is>
          <t>whole class</t>
        </is>
      </c>
      <c r="G1369" s="2" t="n">
        <v>3</v>
      </c>
      <c r="H1369" s="2" t="n">
        <v>3</v>
      </c>
      <c r="I1369" s="3" t="inlineStr">
        <is>
          <t>consilium/consilium_core/tests/test_ai_features.py</t>
        </is>
      </c>
    </row>
    <row r="1370" ht="17" customHeight="1">
      <c r="A1370" s="2" t="inlineStr">
        <is>
          <t>O-6</t>
        </is>
      </c>
      <c r="B1370" s="3" t="inlineStr">
        <is>
          <t>Supplementary</t>
        </is>
      </c>
      <c r="C1370" s="3" t="inlineStr">
        <is>
          <t>consilium_core.tests.test_ai_features</t>
        </is>
      </c>
      <c r="D1370" s="3" t="inlineStr">
        <is>
          <t>TestPages</t>
        </is>
      </c>
      <c r="E1370" s="3" t="inlineStr">
        <is>
          <t>test_the_pages_render_for_a_signed_in_reader</t>
        </is>
      </c>
      <c r="F1370" s="3" t="inlineStr">
        <is>
          <t>whole class</t>
        </is>
      </c>
      <c r="G1370" s="2" t="n">
        <v>1</v>
      </c>
      <c r="H1370" s="2" t="n">
        <v>1</v>
      </c>
      <c r="I1370" s="3" t="inlineStr">
        <is>
          <t>consilium/consilium_core/tests/test_ai_features.py</t>
        </is>
      </c>
    </row>
    <row r="1371" ht="17" customHeight="1">
      <c r="A1371" s="2" t="inlineStr">
        <is>
          <t>O-6</t>
        </is>
      </c>
      <c r="B1371" s="3" t="inlineStr">
        <is>
          <t>Supplementary</t>
        </is>
      </c>
      <c r="C1371" s="3" t="inlineStr">
        <is>
          <t>consilium_core.tests.test_assistant</t>
        </is>
      </c>
      <c r="D1371" s="3" t="inlineStr">
        <is>
          <t>TestSettings</t>
        </is>
      </c>
      <c r="E1371" s="3" t="inlineStr">
        <is>
          <t>test_ai_cannot_be_enabled_without_an_endpoint</t>
        </is>
      </c>
      <c r="F1371" s="3" t="inlineStr">
        <is>
          <t>whole class</t>
        </is>
      </c>
      <c r="G1371" s="2" t="n">
        <v>4</v>
      </c>
      <c r="H1371" s="2" t="n">
        <v>4</v>
      </c>
      <c r="I1371" s="3" t="inlineStr">
        <is>
          <t>consilium/consilium_core/tests/test_assistant.py</t>
        </is>
      </c>
    </row>
    <row r="1372" ht="17" customHeight="1">
      <c r="A1372" s="2" t="inlineStr">
        <is>
          <t>O-6</t>
        </is>
      </c>
      <c r="B1372" s="3" t="inlineStr">
        <is>
          <t>Supplementary</t>
        </is>
      </c>
      <c r="C1372" s="3" t="inlineStr">
        <is>
          <t>consilium_core.tests.test_assistant</t>
        </is>
      </c>
      <c r="D1372" s="3" t="inlineStr">
        <is>
          <t>TestSettings</t>
        </is>
      </c>
      <c r="E1372" s="3" t="inlineStr">
        <is>
          <t>test_only_http_endpoints_are_accepted</t>
        </is>
      </c>
      <c r="F1372" s="3" t="inlineStr">
        <is>
          <t>whole class</t>
        </is>
      </c>
      <c r="G1372" s="2" t="n">
        <v>4</v>
      </c>
      <c r="H1372" s="2" t="n">
        <v>4</v>
      </c>
      <c r="I1372" s="3" t="inlineStr">
        <is>
          <t>consilium/consilium_core/tests/test_assistant.py</t>
        </is>
      </c>
    </row>
    <row r="1373" ht="17" customHeight="1">
      <c r="A1373" s="2" t="inlineStr">
        <is>
          <t>O-6</t>
        </is>
      </c>
      <c r="B1373" s="3" t="inlineStr">
        <is>
          <t>Supplementary</t>
        </is>
      </c>
      <c r="C1373" s="3" t="inlineStr">
        <is>
          <t>consilium_core.tests.test_assistant</t>
        </is>
      </c>
      <c r="D1373" s="3" t="inlineStr">
        <is>
          <t>TestSettings</t>
        </is>
      </c>
      <c r="E1373" s="3" t="inlineStr">
        <is>
          <t>test_limits_are_bounded</t>
        </is>
      </c>
      <c r="F1373" s="3" t="inlineStr">
        <is>
          <t>whole class</t>
        </is>
      </c>
      <c r="G1373" s="2" t="n">
        <v>4</v>
      </c>
      <c r="H1373" s="2" t="n">
        <v>4</v>
      </c>
      <c r="I1373" s="3" t="inlineStr">
        <is>
          <t>consilium/consilium_core/tests/test_assistant.py</t>
        </is>
      </c>
    </row>
    <row r="1374" ht="17" customHeight="1">
      <c r="A1374" s="2" t="inlineStr">
        <is>
          <t>O-6</t>
        </is>
      </c>
      <c r="B1374" s="3" t="inlineStr">
        <is>
          <t>Supplementary</t>
        </is>
      </c>
      <c r="C1374" s="3" t="inlineStr">
        <is>
          <t>consilium_core.tests.test_assistant</t>
        </is>
      </c>
      <c r="D1374" s="3" t="inlineStr">
        <is>
          <t>TestSettings</t>
        </is>
      </c>
      <c r="E1374" s="3" t="inlineStr">
        <is>
          <t>test_defaults_are_offline</t>
        </is>
      </c>
      <c r="F1374" s="3" t="inlineStr">
        <is>
          <t>whole class</t>
        </is>
      </c>
      <c r="G1374" s="2" t="n">
        <v>4</v>
      </c>
      <c r="H1374" s="2" t="n">
        <v>4</v>
      </c>
      <c r="I1374" s="3" t="inlineStr">
        <is>
          <t>consilium/consilium_core/tests/test_assistant.py</t>
        </is>
      </c>
    </row>
    <row r="1375" ht="17" customHeight="1">
      <c r="A1375" s="2" t="inlineStr">
        <is>
          <t>O-6</t>
        </is>
      </c>
      <c r="B1375" s="3" t="inlineStr">
        <is>
          <t>Supplementary</t>
        </is>
      </c>
      <c r="C1375" s="3" t="inlineStr">
        <is>
          <t>consilium_core.tests.test_assistant</t>
        </is>
      </c>
      <c r="D1375" s="3" t="inlineStr">
        <is>
          <t>TestAIMode</t>
        </is>
      </c>
      <c r="E1375" s="3" t="inlineStr">
        <is>
          <t>test_happy_path_uses_the_endpoint_and_records_what_left</t>
        </is>
      </c>
      <c r="F1375" s="3" t="inlineStr">
        <is>
          <t>whole class</t>
        </is>
      </c>
      <c r="G1375" s="2" t="n">
        <v>8</v>
      </c>
      <c r="H1375" s="2" t="n">
        <v>8</v>
      </c>
      <c r="I1375" s="3" t="inlineStr">
        <is>
          <t>consilium/consilium_core/tests/test_assistant.py</t>
        </is>
      </c>
    </row>
    <row r="1376" ht="17" customHeight="1">
      <c r="A1376" s="2" t="inlineStr">
        <is>
          <t>O-6</t>
        </is>
      </c>
      <c r="B1376" s="3" t="inlineStr">
        <is>
          <t>Supplementary</t>
        </is>
      </c>
      <c r="C1376" s="3" t="inlineStr">
        <is>
          <t>consilium_core.tests.test_assistant</t>
        </is>
      </c>
      <c r="D1376" s="3" t="inlineStr">
        <is>
          <t>TestAIMode</t>
        </is>
      </c>
      <c r="E1376" s="3" t="inlineStr">
        <is>
          <t>test_guidance_only_sends_no_record_contents</t>
        </is>
      </c>
      <c r="F1376" s="3" t="inlineStr">
        <is>
          <t>whole class</t>
        </is>
      </c>
      <c r="G1376" s="2" t="n">
        <v>8</v>
      </c>
      <c r="H1376" s="2" t="n">
        <v>8</v>
      </c>
      <c r="I1376" s="3" t="inlineStr">
        <is>
          <t>consilium/consilium_core/tests/test_assistant.py</t>
        </is>
      </c>
    </row>
    <row r="1377" ht="30" customHeight="1">
      <c r="A1377" s="2" t="inlineStr">
        <is>
          <t>O-6</t>
        </is>
      </c>
      <c r="B1377" s="3" t="inlineStr">
        <is>
          <t>Supplementary</t>
        </is>
      </c>
      <c r="C1377" s="3" t="inlineStr">
        <is>
          <t>consilium_core.tests.test_assistant</t>
        </is>
      </c>
      <c r="D1377" s="3" t="inlineStr">
        <is>
          <t>TestAIMode</t>
        </is>
      </c>
      <c r="E1377" s="3" t="inlineStr">
        <is>
          <t>test_record_summary_mode_sends_readable_fields_but_never_a_sensitive_record</t>
        </is>
      </c>
      <c r="F1377" s="3" t="inlineStr">
        <is>
          <t>whole class</t>
        </is>
      </c>
      <c r="G1377" s="2" t="n">
        <v>8</v>
      </c>
      <c r="H1377" s="2" t="n">
        <v>8</v>
      </c>
      <c r="I1377" s="3" t="inlineStr">
        <is>
          <t>consilium/consilium_core/tests/test_assistant.py</t>
        </is>
      </c>
    </row>
    <row r="1378" ht="17" customHeight="1">
      <c r="A1378" s="2" t="inlineStr">
        <is>
          <t>O-6</t>
        </is>
      </c>
      <c r="B1378" s="3" t="inlineStr">
        <is>
          <t>Supplementary</t>
        </is>
      </c>
      <c r="C1378" s="3" t="inlineStr">
        <is>
          <t>consilium_core.tests.test_assistant</t>
        </is>
      </c>
      <c r="D1378" s="3" t="inlineStr">
        <is>
          <t>TestAIMode</t>
        </is>
      </c>
      <c r="E1378" s="3" t="inlineStr">
        <is>
          <t>test_timeout_falls_back_to_the_built_in_answer</t>
        </is>
      </c>
      <c r="F1378" s="3" t="inlineStr">
        <is>
          <t>whole class</t>
        </is>
      </c>
      <c r="G1378" s="2" t="n">
        <v>8</v>
      </c>
      <c r="H1378" s="2" t="n">
        <v>8</v>
      </c>
      <c r="I1378" s="3" t="inlineStr">
        <is>
          <t>consilium/consilium_core/tests/test_assistant.py</t>
        </is>
      </c>
    </row>
    <row r="1379" ht="17" customHeight="1">
      <c r="A1379" s="2" t="inlineStr">
        <is>
          <t>O-6</t>
        </is>
      </c>
      <c r="B1379" s="3" t="inlineStr">
        <is>
          <t>Supplementary</t>
        </is>
      </c>
      <c r="C1379" s="3" t="inlineStr">
        <is>
          <t>consilium_core.tests.test_assistant</t>
        </is>
      </c>
      <c r="D1379" s="3" t="inlineStr">
        <is>
          <t>TestAIMode</t>
        </is>
      </c>
      <c r="E1379" s="3" t="inlineStr">
        <is>
          <t>test_an_error_response_falls_back</t>
        </is>
      </c>
      <c r="F1379" s="3" t="inlineStr">
        <is>
          <t>whole class</t>
        </is>
      </c>
      <c r="G1379" s="2" t="n">
        <v>8</v>
      </c>
      <c r="H1379" s="2" t="n">
        <v>8</v>
      </c>
      <c r="I1379" s="3" t="inlineStr">
        <is>
          <t>consilium/consilium_core/tests/test_assistant.py</t>
        </is>
      </c>
    </row>
    <row r="1380" ht="17" customHeight="1">
      <c r="A1380" s="2" t="inlineStr">
        <is>
          <t>O-6</t>
        </is>
      </c>
      <c r="B1380" s="3" t="inlineStr">
        <is>
          <t>Supplementary</t>
        </is>
      </c>
      <c r="C1380" s="3" t="inlineStr">
        <is>
          <t>consilium_core.tests.test_assistant</t>
        </is>
      </c>
      <c r="D1380" s="3" t="inlineStr">
        <is>
          <t>TestAIMode</t>
        </is>
      </c>
      <c r="E1380" s="3" t="inlineStr">
        <is>
          <t>test_a_refusal_falls_back</t>
        </is>
      </c>
      <c r="F1380" s="3" t="inlineStr">
        <is>
          <t>whole class</t>
        </is>
      </c>
      <c r="G1380" s="2" t="n">
        <v>8</v>
      </c>
      <c r="H1380" s="2" t="n">
        <v>8</v>
      </c>
      <c r="I1380" s="3" t="inlineStr">
        <is>
          <t>consilium/consilium_core/tests/test_assistant.py</t>
        </is>
      </c>
    </row>
    <row r="1381" ht="17" customHeight="1">
      <c r="A1381" s="2" t="inlineStr">
        <is>
          <t>O-6</t>
        </is>
      </c>
      <c r="B1381" s="3" t="inlineStr">
        <is>
          <t>Supplementary</t>
        </is>
      </c>
      <c r="C1381" s="3" t="inlineStr">
        <is>
          <t>consilium_core.tests.test_assistant</t>
        </is>
      </c>
      <c r="D1381" s="3" t="inlineStr">
        <is>
          <t>TestAIMode</t>
        </is>
      </c>
      <c r="E1381" s="3" t="inlineStr">
        <is>
          <t>test_an_unreachable_endpoint_falls_back</t>
        </is>
      </c>
      <c r="F1381" s="3" t="inlineStr">
        <is>
          <t>whole class</t>
        </is>
      </c>
      <c r="G1381" s="2" t="n">
        <v>8</v>
      </c>
      <c r="H1381" s="2" t="n">
        <v>8</v>
      </c>
      <c r="I1381" s="3" t="inlineStr">
        <is>
          <t>consilium/consilium_core/tests/test_assistant.py</t>
        </is>
      </c>
    </row>
    <row r="1382" ht="17" customHeight="1">
      <c r="A1382" s="2" t="inlineStr">
        <is>
          <t>O-6</t>
        </is>
      </c>
      <c r="B1382" s="3" t="inlineStr">
        <is>
          <t>Supplementary</t>
        </is>
      </c>
      <c r="C1382" s="3" t="inlineStr">
        <is>
          <t>consilium_core.tests.test_assistant</t>
        </is>
      </c>
      <c r="D1382" s="3" t="inlineStr">
        <is>
          <t>TestAIMode</t>
        </is>
      </c>
      <c r="E1382" s="3" t="inlineStr">
        <is>
          <t>test_openai_compatible_gateway</t>
        </is>
      </c>
      <c r="F1382" s="3" t="inlineStr">
        <is>
          <t>whole class</t>
        </is>
      </c>
      <c r="G1382" s="2" t="n">
        <v>8</v>
      </c>
      <c r="H1382" s="2" t="n">
        <v>8</v>
      </c>
      <c r="I1382" s="3" t="inlineStr">
        <is>
          <t>consilium/consilium_core/tests/test_assistant.py</t>
        </is>
      </c>
    </row>
    <row r="1383" ht="17" customHeight="1">
      <c r="A1383" s="2" t="inlineStr">
        <is>
          <t>O-6</t>
        </is>
      </c>
      <c r="B1383" s="3" t="inlineStr">
        <is>
          <t>Supplementary</t>
        </is>
      </c>
      <c r="C1383" s="3" t="inlineStr">
        <is>
          <t>consilium_core.tests.test_integrations</t>
        </is>
      </c>
      <c r="D1383" s="3" t="inlineStr">
        <is>
          <t>TestIntegrationsPage</t>
        </is>
      </c>
      <c r="E1383" s="3" t="inlineStr">
        <is>
          <t>test_administrators_only</t>
        </is>
      </c>
      <c r="F1383" s="3" t="inlineStr">
        <is>
          <t>whole class</t>
        </is>
      </c>
      <c r="G1383" s="2" t="n">
        <v>14</v>
      </c>
      <c r="H1383" s="2" t="n">
        <v>14</v>
      </c>
      <c r="I1383" s="3" t="inlineStr">
        <is>
          <t>consilium/consilium_core/tests/test_integrations.py</t>
        </is>
      </c>
    </row>
    <row r="1384" ht="17" customHeight="1">
      <c r="A1384" s="2" t="inlineStr">
        <is>
          <t>O-6</t>
        </is>
      </c>
      <c r="B1384" s="3" t="inlineStr">
        <is>
          <t>Supplementary</t>
        </is>
      </c>
      <c r="C1384" s="3" t="inlineStr">
        <is>
          <t>consilium_core.tests.test_integrations</t>
        </is>
      </c>
      <c r="D1384" s="3" t="inlineStr">
        <is>
          <t>TestIntegrationsPage</t>
        </is>
      </c>
      <c r="E1384" s="3" t="inlineStr">
        <is>
          <t>test_a_saved_key_is_never_returned</t>
        </is>
      </c>
      <c r="F1384" s="3" t="inlineStr">
        <is>
          <t>whole class</t>
        </is>
      </c>
      <c r="G1384" s="2" t="n">
        <v>14</v>
      </c>
      <c r="H1384" s="2" t="n">
        <v>14</v>
      </c>
      <c r="I1384" s="3" t="inlineStr">
        <is>
          <t>consilium/consilium_core/tests/test_integrations.py</t>
        </is>
      </c>
    </row>
    <row r="1385" ht="17" customHeight="1">
      <c r="A1385" s="2" t="inlineStr">
        <is>
          <t>O-6</t>
        </is>
      </c>
      <c r="B1385" s="3" t="inlineStr">
        <is>
          <t>Supplementary</t>
        </is>
      </c>
      <c r="C1385" s="3" t="inlineStr">
        <is>
          <t>consilium_core.tests.test_integrations</t>
        </is>
      </c>
      <c r="D1385" s="3" t="inlineStr">
        <is>
          <t>TestIntegrationsPage</t>
        </is>
      </c>
      <c r="E1385" s="3" t="inlineStr">
        <is>
          <t>test_only_the_cards_fields_are_written</t>
        </is>
      </c>
      <c r="F1385" s="3" t="inlineStr">
        <is>
          <t>whole class</t>
        </is>
      </c>
      <c r="G1385" s="2" t="n">
        <v>14</v>
      </c>
      <c r="H1385" s="2" t="n">
        <v>14</v>
      </c>
      <c r="I1385" s="3" t="inlineStr">
        <is>
          <t>consilium/consilium_core/tests/test_integrations.py</t>
        </is>
      </c>
    </row>
    <row r="1386" ht="17" customHeight="1">
      <c r="A1386" s="2" t="inlineStr">
        <is>
          <t>O-6</t>
        </is>
      </c>
      <c r="B1386" s="3" t="inlineStr">
        <is>
          <t>Supplementary</t>
        </is>
      </c>
      <c r="C1386" s="3" t="inlineStr">
        <is>
          <t>consilium_core.tests.test_integrations</t>
        </is>
      </c>
      <c r="D1386" s="3" t="inlineStr">
        <is>
          <t>TestIntegrationsPage</t>
        </is>
      </c>
      <c r="E1386" s="3" t="inlineStr">
        <is>
          <t>test_the_doc_ai_card_saves_its_roles</t>
        </is>
      </c>
      <c r="F1386" s="3" t="inlineStr">
        <is>
          <t>whole class</t>
        </is>
      </c>
      <c r="G1386" s="2" t="n">
        <v>14</v>
      </c>
      <c r="H1386" s="2" t="n">
        <v>14</v>
      </c>
      <c r="I1386" s="3" t="inlineStr">
        <is>
          <t>consilium/consilium_core/tests/test_integrations.py</t>
        </is>
      </c>
    </row>
    <row r="1387" ht="17" customHeight="1">
      <c r="A1387" s="2" t="inlineStr">
        <is>
          <t>O-6</t>
        </is>
      </c>
      <c r="B1387" s="3" t="inlineStr">
        <is>
          <t>Supplementary</t>
        </is>
      </c>
      <c r="C1387" s="3" t="inlineStr">
        <is>
          <t>consilium_core.tests.test_integrations</t>
        </is>
      </c>
      <c r="D1387" s="3" t="inlineStr">
        <is>
          <t>TestIntegrationsPage</t>
        </is>
      </c>
      <c r="E1387" s="3" t="inlineStr">
        <is>
          <t>test_who_sees_the_button_offers_only_the_platforms_roles</t>
        </is>
      </c>
      <c r="F1387" s="3" t="inlineStr">
        <is>
          <t>whole class</t>
        </is>
      </c>
      <c r="G1387" s="2" t="n">
        <v>14</v>
      </c>
      <c r="H1387" s="2" t="n">
        <v>14</v>
      </c>
      <c r="I1387" s="3" t="inlineStr">
        <is>
          <t>consilium/consilium_core/tests/test_integrations.py</t>
        </is>
      </c>
    </row>
    <row r="1388" ht="17" customHeight="1">
      <c r="A1388" s="2" t="inlineStr">
        <is>
          <t>O-6</t>
        </is>
      </c>
      <c r="B1388" s="3" t="inlineStr">
        <is>
          <t>Supplementary</t>
        </is>
      </c>
      <c r="C1388" s="3" t="inlineStr">
        <is>
          <t>consilium_core.tests.test_integrations</t>
        </is>
      </c>
      <c r="D1388" s="3" t="inlineStr">
        <is>
          <t>TestIntegrationsPage</t>
        </is>
      </c>
      <c r="E1388" s="3" t="inlineStr">
        <is>
          <t>test_the_email_route_is_named_in_words</t>
        </is>
      </c>
      <c r="F1388" s="3" t="inlineStr">
        <is>
          <t>whole class</t>
        </is>
      </c>
      <c r="G1388" s="2" t="n">
        <v>14</v>
      </c>
      <c r="H1388" s="2" t="n">
        <v>14</v>
      </c>
      <c r="I1388" s="3" t="inlineStr">
        <is>
          <t>consilium/consilium_core/tests/test_integrations.py</t>
        </is>
      </c>
    </row>
    <row r="1389" ht="17" customHeight="1">
      <c r="A1389" s="2" t="inlineStr">
        <is>
          <t>O-6</t>
        </is>
      </c>
      <c r="B1389" s="3" t="inlineStr">
        <is>
          <t>Supplementary</t>
        </is>
      </c>
      <c r="C1389" s="3" t="inlineStr">
        <is>
          <t>consilium_core.tests.test_integrations</t>
        </is>
      </c>
      <c r="D1389" s="3" t="inlineStr">
        <is>
          <t>TestIntegrationsPage</t>
        </is>
      </c>
      <c r="E1389" s="3" t="inlineStr">
        <is>
          <t>test_connection_test_reports_success_and_latency</t>
        </is>
      </c>
      <c r="F1389" s="3" t="inlineStr">
        <is>
          <t>whole class</t>
        </is>
      </c>
      <c r="G1389" s="2" t="n">
        <v>14</v>
      </c>
      <c r="H1389" s="2" t="n">
        <v>14</v>
      </c>
      <c r="I1389" s="3" t="inlineStr">
        <is>
          <t>consilium/consilium_core/tests/test_integrations.py</t>
        </is>
      </c>
    </row>
    <row r="1390" ht="17" customHeight="1">
      <c r="A1390" s="2" t="inlineStr">
        <is>
          <t>O-6</t>
        </is>
      </c>
      <c r="B1390" s="3" t="inlineStr">
        <is>
          <t>Supplementary</t>
        </is>
      </c>
      <c r="C1390" s="3" t="inlineStr">
        <is>
          <t>consilium_core.tests.test_integrations</t>
        </is>
      </c>
      <c r="D1390" s="3" t="inlineStr">
        <is>
          <t>TestIntegrationsPage</t>
        </is>
      </c>
      <c r="E1390" s="3" t="inlineStr">
        <is>
          <t>test_connection_test_reports_the_error</t>
        </is>
      </c>
      <c r="F1390" s="3" t="inlineStr">
        <is>
          <t>whole class</t>
        </is>
      </c>
      <c r="G1390" s="2" t="n">
        <v>14</v>
      </c>
      <c r="H1390" s="2" t="n">
        <v>14</v>
      </c>
      <c r="I1390" s="3" t="inlineStr">
        <is>
          <t>consilium/consilium_core/tests/test_integrations.py</t>
        </is>
      </c>
    </row>
    <row r="1391" ht="30" customHeight="1">
      <c r="A1391" s="2" t="inlineStr">
        <is>
          <t>O-6</t>
        </is>
      </c>
      <c r="B1391" s="3" t="inlineStr">
        <is>
          <t>Supplementary</t>
        </is>
      </c>
      <c r="C1391" s="3" t="inlineStr">
        <is>
          <t>consilium_core.tests.test_integrations</t>
        </is>
      </c>
      <c r="D1391" s="3" t="inlineStr">
        <is>
          <t>TestIntegrationsPage</t>
        </is>
      </c>
      <c r="E1391" s="3" t="inlineStr">
        <is>
          <t>test_connection_test_names_a_reasoning_model_that_ran_out_of_room</t>
        </is>
      </c>
      <c r="F1391" s="3" t="inlineStr">
        <is>
          <t>whole class</t>
        </is>
      </c>
      <c r="G1391" s="2" t="n">
        <v>14</v>
      </c>
      <c r="H1391" s="2" t="n">
        <v>14</v>
      </c>
      <c r="I1391" s="3" t="inlineStr">
        <is>
          <t>consilium/consilium_core/tests/test_integrations.py</t>
        </is>
      </c>
    </row>
    <row r="1392" ht="17" customHeight="1">
      <c r="A1392" s="2" t="inlineStr">
        <is>
          <t>O-6</t>
        </is>
      </c>
      <c r="B1392" s="3" t="inlineStr">
        <is>
          <t>Supplementary</t>
        </is>
      </c>
      <c r="C1392" s="3" t="inlineStr">
        <is>
          <t>consilium_core.tests.test_integrations</t>
        </is>
      </c>
      <c r="D1392" s="3" t="inlineStr">
        <is>
          <t>TestIntegrationsPage</t>
        </is>
      </c>
      <c r="E1392" s="3" t="inlineStr">
        <is>
          <t>test_connection_test_needs_an_endpoint</t>
        </is>
      </c>
      <c r="F1392" s="3" t="inlineStr">
        <is>
          <t>whole class</t>
        </is>
      </c>
      <c r="G1392" s="2" t="n">
        <v>14</v>
      </c>
      <c r="H1392" s="2" t="n">
        <v>14</v>
      </c>
      <c r="I1392" s="3" t="inlineStr">
        <is>
          <t>consilium/consilium_core/tests/test_integrations.py</t>
        </is>
      </c>
    </row>
    <row r="1393" ht="17" customHeight="1">
      <c r="A1393" s="2" t="inlineStr">
        <is>
          <t>O-6</t>
        </is>
      </c>
      <c r="B1393" s="3" t="inlineStr">
        <is>
          <t>Supplementary</t>
        </is>
      </c>
      <c r="C1393" s="3" t="inlineStr">
        <is>
          <t>consilium_core.tests.test_integrations</t>
        </is>
      </c>
      <c r="D1393" s="3" t="inlineStr">
        <is>
          <t>TestIntegrationsPage</t>
        </is>
      </c>
      <c r="E1393" s="3" t="inlineStr">
        <is>
          <t>test_the_legacy_request_format_still_works</t>
        </is>
      </c>
      <c r="F1393" s="3" t="inlineStr">
        <is>
          <t>whole class</t>
        </is>
      </c>
      <c r="G1393" s="2" t="n">
        <v>14</v>
      </c>
      <c r="H1393" s="2" t="n">
        <v>14</v>
      </c>
      <c r="I1393" s="3" t="inlineStr">
        <is>
          <t>consilium/consilium_core/tests/test_integrations.py</t>
        </is>
      </c>
    </row>
    <row r="1394" ht="17" customHeight="1">
      <c r="A1394" s="2" t="inlineStr">
        <is>
          <t>O-6</t>
        </is>
      </c>
      <c r="B1394" s="3" t="inlineStr">
        <is>
          <t>Supplementary</t>
        </is>
      </c>
      <c r="C1394" s="3" t="inlineStr">
        <is>
          <t>consilium_core.tests.test_integrations</t>
        </is>
      </c>
      <c r="D1394" s="3" t="inlineStr">
        <is>
          <t>TestIntegrationsPage</t>
        </is>
      </c>
      <c r="E1394" s="3" t="inlineStr">
        <is>
          <t>test_a_test_email_through_graph_reaches_the_administrator</t>
        </is>
      </c>
      <c r="F1394" s="3" t="inlineStr">
        <is>
          <t>whole class</t>
        </is>
      </c>
      <c r="G1394" s="2" t="n">
        <v>14</v>
      </c>
      <c r="H1394" s="2" t="n">
        <v>14</v>
      </c>
      <c r="I1394" s="3" t="inlineStr">
        <is>
          <t>consilium/consilium_core/tests/test_integrations.py</t>
        </is>
      </c>
    </row>
    <row r="1395" ht="17" customHeight="1">
      <c r="A1395" s="2" t="inlineStr">
        <is>
          <t>O-6</t>
        </is>
      </c>
      <c r="B1395" s="3" t="inlineStr">
        <is>
          <t>Supplementary</t>
        </is>
      </c>
      <c r="C1395" s="3" t="inlineStr">
        <is>
          <t>consilium_core.tests.test_integrations</t>
        </is>
      </c>
      <c r="D1395" s="3" t="inlineStr">
        <is>
          <t>TestIntegrationsPage</t>
        </is>
      </c>
      <c r="E1395" s="3" t="inlineStr">
        <is>
          <t>test_a_test_email_through_smtp_is_sent_now_and_recorded</t>
        </is>
      </c>
      <c r="F1395" s="3" t="inlineStr">
        <is>
          <t>whole class</t>
        </is>
      </c>
      <c r="G1395" s="2" t="n">
        <v>14</v>
      </c>
      <c r="H1395" s="2" t="n">
        <v>14</v>
      </c>
      <c r="I1395" s="3" t="inlineStr">
        <is>
          <t>consilium/consilium_core/tests/test_integrations.py</t>
        </is>
      </c>
    </row>
    <row r="1396" ht="17" customHeight="1">
      <c r="A1396" s="2" t="inlineStr">
        <is>
          <t>O-6</t>
        </is>
      </c>
      <c r="B1396" s="3" t="inlineStr">
        <is>
          <t>Supplementary</t>
        </is>
      </c>
      <c r="C1396" s="3" t="inlineStr">
        <is>
          <t>consilium_core.tests.test_integrations</t>
        </is>
      </c>
      <c r="D1396" s="3" t="inlineStr">
        <is>
          <t>TestIntegrationsPage</t>
        </is>
      </c>
      <c r="E1396" s="3" t="inlineStr">
        <is>
          <t>test_the_single_sign_on_card_shows_the_redirect_address</t>
        </is>
      </c>
      <c r="F1396" s="3" t="inlineStr">
        <is>
          <t>whole class</t>
        </is>
      </c>
      <c r="G1396" s="2" t="n">
        <v>14</v>
      </c>
      <c r="H1396" s="2" t="n">
        <v>14</v>
      </c>
      <c r="I1396" s="3" t="inlineStr">
        <is>
          <t>consilium/consilium_core/tests/test_integrations.py</t>
        </is>
      </c>
    </row>
    <row r="1397" ht="17" customHeight="1">
      <c r="A1397" s="2" t="inlineStr">
        <is>
          <t>O-6</t>
        </is>
      </c>
      <c r="B1397" s="3" t="inlineStr">
        <is>
          <t>Supplementary</t>
        </is>
      </c>
      <c r="C1397" s="3" t="inlineStr">
        <is>
          <t>consilium_core.tests.test_services</t>
        </is>
      </c>
      <c r="D1397" s="3" t="inlineStr">
        <is>
          <t>TestProvenance</t>
        </is>
      </c>
      <c r="E1397" s="3" t="inlineStr">
        <is>
          <t>test_a_request_and_its_response_are_recorded_once</t>
        </is>
      </c>
      <c r="F1397" s="3" t="inlineStr">
        <is>
          <t>whole class</t>
        </is>
      </c>
      <c r="G1397" s="2" t="n">
        <v>4</v>
      </c>
      <c r="H1397" s="2" t="n">
        <v>4</v>
      </c>
      <c r="I1397" s="3" t="inlineStr">
        <is>
          <t>consilium/consilium_core/tests/test_services.py</t>
        </is>
      </c>
    </row>
    <row r="1398" ht="17" customHeight="1">
      <c r="A1398" s="2" t="inlineStr">
        <is>
          <t>O-6</t>
        </is>
      </c>
      <c r="B1398" s="3" t="inlineStr">
        <is>
          <t>Supplementary</t>
        </is>
      </c>
      <c r="C1398" s="3" t="inlineStr">
        <is>
          <t>consilium_core.tests.test_services</t>
        </is>
      </c>
      <c r="D1398" s="3" t="inlineStr">
        <is>
          <t>TestProvenance</t>
        </is>
      </c>
      <c r="E1398" s="3" t="inlineStr">
        <is>
          <t>test_a_request_field_cannot_be_rewritten</t>
        </is>
      </c>
      <c r="F1398" s="3" t="inlineStr">
        <is>
          <t>whole class</t>
        </is>
      </c>
      <c r="G1398" s="2" t="n">
        <v>4</v>
      </c>
      <c r="H1398" s="2" t="n">
        <v>4</v>
      </c>
      <c r="I1398" s="3" t="inlineStr">
        <is>
          <t>consilium/consilium_core/tests/test_services.py</t>
        </is>
      </c>
    </row>
    <row r="1399" ht="30" customHeight="1">
      <c r="A1399" s="2" t="inlineStr">
        <is>
          <t>O-6</t>
        </is>
      </c>
      <c r="B1399" s="3" t="inlineStr">
        <is>
          <t>Supplementary</t>
        </is>
      </c>
      <c r="C1399" s="3" t="inlineStr">
        <is>
          <t>consilium_core.tests.test_services</t>
        </is>
      </c>
      <c r="D1399" s="3" t="inlineStr">
        <is>
          <t>TestProvenance</t>
        </is>
      </c>
      <c r="E1399" s="3" t="inlineStr">
        <is>
          <t>test_an_acceptance_records_who_took_responsibility_and_against_which_version</t>
        </is>
      </c>
      <c r="F1399" s="3" t="inlineStr">
        <is>
          <t>whole class</t>
        </is>
      </c>
      <c r="G1399" s="2" t="n">
        <v>4</v>
      </c>
      <c r="H1399" s="2" t="n">
        <v>4</v>
      </c>
      <c r="I1399" s="3" t="inlineStr">
        <is>
          <t>consilium/consilium_core/tests/test_services.py</t>
        </is>
      </c>
    </row>
    <row r="1400" ht="17" customHeight="1">
      <c r="A1400" s="2" t="inlineStr">
        <is>
          <t>O-6</t>
        </is>
      </c>
      <c r="B1400" s="3" t="inlineStr">
        <is>
          <t>Supplementary</t>
        </is>
      </c>
      <c r="C1400" s="3" t="inlineStr">
        <is>
          <t>consilium_core.tests.test_services</t>
        </is>
      </c>
      <c r="D1400" s="3" t="inlineStr">
        <is>
          <t>TestProvenance</t>
        </is>
      </c>
      <c r="E1400" s="3" t="inlineStr">
        <is>
          <t>test_an_acceptance_cannot_be_edited</t>
        </is>
      </c>
      <c r="F1400" s="3" t="inlineStr">
        <is>
          <t>whole class</t>
        </is>
      </c>
      <c r="G1400" s="2" t="n">
        <v>4</v>
      </c>
      <c r="H1400" s="2" t="n">
        <v>4</v>
      </c>
      <c r="I1400" s="3" t="inlineStr">
        <is>
          <t>consilium/consilium_core/tests/test_services.py</t>
        </is>
      </c>
    </row>
    <row r="1401" ht="30" customHeight="1">
      <c r="A1401" s="2" t="inlineStr">
        <is>
          <t>O-7</t>
        </is>
      </c>
      <c r="B1401" s="3" t="inlineStr">
        <is>
          <t>Supplementary</t>
        </is>
      </c>
      <c r="C1401" s="3" t="inlineStr">
        <is>
          <t>consilium_core.tests.test_ai_features</t>
        </is>
      </c>
      <c r="D1401" s="3" t="inlineStr">
        <is>
          <t>TestRegulatory</t>
        </is>
      </c>
      <c r="E1401" s="3" t="inlineStr">
        <is>
          <t>test_citing_records_and_rule_based_candidates_with_sections</t>
        </is>
      </c>
      <c r="F1401" s="3" t="inlineStr">
        <is>
          <t>whole class</t>
        </is>
      </c>
      <c r="G1401" s="2" t="n">
        <v>8</v>
      </c>
      <c r="H1401" s="2" t="n">
        <v>8</v>
      </c>
      <c r="I1401" s="3" t="inlineStr">
        <is>
          <t>consilium/consilium_core/tests/test_ai_features.py</t>
        </is>
      </c>
    </row>
    <row r="1402" ht="30" customHeight="1">
      <c r="A1402" s="2" t="inlineStr">
        <is>
          <t>O-7</t>
        </is>
      </c>
      <c r="B1402" s="3" t="inlineStr">
        <is>
          <t>Supplementary</t>
        </is>
      </c>
      <c r="C1402" s="3" t="inlineStr">
        <is>
          <t>consilium_core.tests.test_ai_features</t>
        </is>
      </c>
      <c r="D1402" s="3" t="inlineStr">
        <is>
          <t>TestRegulatory</t>
        </is>
      </c>
      <c r="E1402" s="3" t="inlineStr">
        <is>
          <t>test_recording_a_change_saves_through_the_controller_and_its_fan_out</t>
        </is>
      </c>
      <c r="F1402" s="3" t="inlineStr">
        <is>
          <t>whole class</t>
        </is>
      </c>
      <c r="G1402" s="2" t="n">
        <v>8</v>
      </c>
      <c r="H1402" s="2" t="n">
        <v>8</v>
      </c>
      <c r="I1402" s="3" t="inlineStr">
        <is>
          <t>consilium/consilium_core/tests/test_ai_features.py</t>
        </is>
      </c>
    </row>
    <row r="1403" ht="30" customHeight="1">
      <c r="A1403" s="2" t="inlineStr">
        <is>
          <t>O-7</t>
        </is>
      </c>
      <c r="B1403" s="3" t="inlineStr">
        <is>
          <t>Supplementary</t>
        </is>
      </c>
      <c r="C1403" s="3" t="inlineStr">
        <is>
          <t>consilium_core.tests.test_ai_features</t>
        </is>
      </c>
      <c r="D1403" s="3" t="inlineStr">
        <is>
          <t>TestRegulatory</t>
        </is>
      </c>
      <c r="E1403" s="3" t="inlineStr">
        <is>
          <t>test_a_change_imported_by_file_goes_through_the_same_fan_out</t>
        </is>
      </c>
      <c r="F1403" s="3" t="inlineStr">
        <is>
          <t>whole class</t>
        </is>
      </c>
      <c r="G1403" s="2" t="n">
        <v>8</v>
      </c>
      <c r="H1403" s="2" t="n">
        <v>8</v>
      </c>
      <c r="I1403" s="3" t="inlineStr">
        <is>
          <t>consilium/consilium_core/tests/test_ai_features.py</t>
        </is>
      </c>
    </row>
    <row r="1404" ht="30" customHeight="1">
      <c r="A1404" s="2" t="inlineStr">
        <is>
          <t>O-7</t>
        </is>
      </c>
      <c r="B1404" s="3" t="inlineStr">
        <is>
          <t>Supplementary</t>
        </is>
      </c>
      <c r="C1404" s="3" t="inlineStr">
        <is>
          <t>consilium_core.tests.test_ai_features</t>
        </is>
      </c>
      <c r="D1404" s="3" t="inlineStr">
        <is>
          <t>TestRegulatory</t>
        </is>
      </c>
      <c r="E1404" s="3" t="inlineStr">
        <is>
          <t>test_suggestions_are_recorded_and_nothing_is_written_until_a_person_accepts</t>
        </is>
      </c>
      <c r="F1404" s="3" t="inlineStr">
        <is>
          <t>whole class</t>
        </is>
      </c>
      <c r="G1404" s="2" t="n">
        <v>8</v>
      </c>
      <c r="H1404" s="2" t="n">
        <v>8</v>
      </c>
      <c r="I1404" s="3" t="inlineStr">
        <is>
          <t>consilium/consilium_core/tests/test_ai_features.py</t>
        </is>
      </c>
    </row>
    <row r="1405" ht="17" customHeight="1">
      <c r="A1405" s="2" t="inlineStr">
        <is>
          <t>O-7</t>
        </is>
      </c>
      <c r="B1405" s="3" t="inlineStr">
        <is>
          <t>Supplementary</t>
        </is>
      </c>
      <c r="C1405" s="3" t="inlineStr">
        <is>
          <t>consilium_core.tests.test_ai_features</t>
        </is>
      </c>
      <c r="D1405" s="3" t="inlineStr">
        <is>
          <t>TestRegulatory</t>
        </is>
      </c>
      <c r="E1405" s="3" t="inlineStr">
        <is>
          <t>test_a_rejection_is_recorded_and_writes_nothing</t>
        </is>
      </c>
      <c r="F1405" s="3" t="inlineStr">
        <is>
          <t>whole class</t>
        </is>
      </c>
      <c r="G1405" s="2" t="n">
        <v>8</v>
      </c>
      <c r="H1405" s="2" t="n">
        <v>8</v>
      </c>
      <c r="I1405" s="3" t="inlineStr">
        <is>
          <t>consilium/consilium_core/tests/test_ai_features.py</t>
        </is>
      </c>
    </row>
    <row r="1406" ht="17" customHeight="1">
      <c r="A1406" s="2" t="inlineStr">
        <is>
          <t>O-7</t>
        </is>
      </c>
      <c r="B1406" s="3" t="inlineStr">
        <is>
          <t>Supplementary</t>
        </is>
      </c>
      <c r="C1406" s="3" t="inlineStr">
        <is>
          <t>consilium_core.tests.test_ai_features</t>
        </is>
      </c>
      <c r="D1406" s="3" t="inlineStr">
        <is>
          <t>TestRegulatory</t>
        </is>
      </c>
      <c r="E1406" s="3" t="inlineStr">
        <is>
          <t>test_only_someone_who_may_change_the_document_may_decide</t>
        </is>
      </c>
      <c r="F1406" s="3" t="inlineStr">
        <is>
          <t>whole class</t>
        </is>
      </c>
      <c r="G1406" s="2" t="n">
        <v>8</v>
      </c>
      <c r="H1406" s="2" t="n">
        <v>8</v>
      </c>
      <c r="I1406" s="3" t="inlineStr">
        <is>
          <t>consilium/consilium_core/tests/test_ai_features.py</t>
        </is>
      </c>
    </row>
    <row r="1407" ht="17" customHeight="1">
      <c r="A1407" s="2" t="inlineStr">
        <is>
          <t>O-7</t>
        </is>
      </c>
      <c r="B1407" s="3" t="inlineStr">
        <is>
          <t>Supplementary</t>
        </is>
      </c>
      <c r="C1407" s="3" t="inlineStr">
        <is>
          <t>consilium_core.tests.test_ai_features</t>
        </is>
      </c>
      <c r="D1407" s="3" t="inlineStr">
        <is>
          <t>TestRegulatory</t>
        </is>
      </c>
      <c r="E1407" s="3" t="inlineStr">
        <is>
          <t>test_an_answer_that_is_not_json_is_not_shown</t>
        </is>
      </c>
      <c r="F1407" s="3" t="inlineStr">
        <is>
          <t>whole class</t>
        </is>
      </c>
      <c r="G1407" s="2" t="n">
        <v>8</v>
      </c>
      <c r="H1407" s="2" t="n">
        <v>8</v>
      </c>
      <c r="I1407" s="3" t="inlineStr">
        <is>
          <t>consilium/consilium_core/tests/test_ai_features.py</t>
        </is>
      </c>
    </row>
    <row r="1408" ht="17" customHeight="1">
      <c r="A1408" s="2" t="inlineStr">
        <is>
          <t>O-7</t>
        </is>
      </c>
      <c r="B1408" s="3" t="inlineStr">
        <is>
          <t>Supplementary</t>
        </is>
      </c>
      <c r="C1408" s="3" t="inlineStr">
        <is>
          <t>consilium_core.tests.test_ai_features</t>
        </is>
      </c>
      <c r="D1408" s="3" t="inlineStr">
        <is>
          <t>TestRegulatory</t>
        </is>
      </c>
      <c r="E1408" s="3" t="inlineStr">
        <is>
          <t>test_openai_compatible_gateway</t>
        </is>
      </c>
      <c r="F1408" s="3" t="inlineStr">
        <is>
          <t>whole class</t>
        </is>
      </c>
      <c r="G1408" s="2" t="n">
        <v>8</v>
      </c>
      <c r="H1408" s="2" t="n">
        <v>8</v>
      </c>
      <c r="I1408" s="3" t="inlineStr">
        <is>
          <t>consilium/consilium_core/tests/test_ai_features.py</t>
        </is>
      </c>
    </row>
    <row r="1409" ht="17" customHeight="1">
      <c r="A1409" s="2" t="inlineStr">
        <is>
          <t>O-7</t>
        </is>
      </c>
      <c r="B1409" s="3" t="inlineStr">
        <is>
          <t>Supplementary</t>
        </is>
      </c>
      <c r="C1409" s="3" t="inlineStr">
        <is>
          <t>consilium_core.tests.test_ai_features</t>
        </is>
      </c>
      <c r="D1409" s="3" t="inlineStr">
        <is>
          <t>TestTrends</t>
        </is>
      </c>
      <c r="E1409" s="3" t="inlineStr">
        <is>
          <t>test_classification_of_a_series</t>
        </is>
      </c>
      <c r="F1409" s="3" t="inlineStr">
        <is>
          <t>whole class</t>
        </is>
      </c>
      <c r="G1409" s="2" t="n">
        <v>4</v>
      </c>
      <c r="H1409" s="2" t="n">
        <v>4</v>
      </c>
      <c r="I1409" s="3" t="inlineStr">
        <is>
          <t>consilium/consilium_core/tests/test_ai_features.py</t>
        </is>
      </c>
    </row>
    <row r="1410" ht="17" customHeight="1">
      <c r="A1410" s="2" t="inlineStr">
        <is>
          <t>O-7</t>
        </is>
      </c>
      <c r="B1410" s="3" t="inlineStr">
        <is>
          <t>Supplementary</t>
        </is>
      </c>
      <c r="C1410" s="3" t="inlineStr">
        <is>
          <t>consilium_core.tests.test_ai_features</t>
        </is>
      </c>
      <c r="D1410" s="3" t="inlineStr">
        <is>
          <t>TestTrends</t>
        </is>
      </c>
      <c r="E1410" s="3" t="inlineStr">
        <is>
          <t>test_a_burst_of_violations_in_one_category_is_rising</t>
        </is>
      </c>
      <c r="F1410" s="3" t="inlineStr">
        <is>
          <t>whole class</t>
        </is>
      </c>
      <c r="G1410" s="2" t="n">
        <v>4</v>
      </c>
      <c r="H1410" s="2" t="n">
        <v>4</v>
      </c>
      <c r="I1410" s="3" t="inlineStr">
        <is>
          <t>consilium/consilium_core/tests/test_ai_features.py</t>
        </is>
      </c>
    </row>
    <row r="1411" ht="30" customHeight="1">
      <c r="A1411" s="2" t="inlineStr">
        <is>
          <t>O-7</t>
        </is>
      </c>
      <c r="B1411" s="3" t="inlineStr">
        <is>
          <t>Supplementary</t>
        </is>
      </c>
      <c r="C1411" s="3" t="inlineStr">
        <is>
          <t>consilium_core.tests.test_ai_features</t>
        </is>
      </c>
      <c r="D1411" s="3" t="inlineStr">
        <is>
          <t>TestTrends</t>
        </is>
      </c>
      <c r="E1411" s="3" t="inlineStr">
        <is>
          <t>test_a_sensitive_escalation_is_shown_to_a_cleared_reader_but_never_counted_in_what_leaves</t>
        </is>
      </c>
      <c r="F1411" s="3" t="inlineStr">
        <is>
          <t>whole class</t>
        </is>
      </c>
      <c r="G1411" s="2" t="n">
        <v>4</v>
      </c>
      <c r="H1411" s="2" t="n">
        <v>4</v>
      </c>
      <c r="I1411" s="3" t="inlineStr">
        <is>
          <t>consilium/consilium_core/tests/test_ai_features.py</t>
        </is>
      </c>
    </row>
    <row r="1412" ht="17" customHeight="1">
      <c r="A1412" s="2" t="inlineStr">
        <is>
          <t>O-7</t>
        </is>
      </c>
      <c r="B1412" s="3" t="inlineStr">
        <is>
          <t>Supplementary</t>
        </is>
      </c>
      <c r="C1412" s="3" t="inlineStr">
        <is>
          <t>consilium_core.tests.test_ai_features</t>
        </is>
      </c>
      <c r="D1412" s="3" t="inlineStr">
        <is>
          <t>TestTrends</t>
        </is>
      </c>
      <c r="E1412" s="3" t="inlineStr">
        <is>
          <t>test_the_narrative_payload_is_counts_and_taxonomy_only</t>
        </is>
      </c>
      <c r="F1412" s="3" t="inlineStr">
        <is>
          <t>whole class</t>
        </is>
      </c>
      <c r="G1412" s="2" t="n">
        <v>4</v>
      </c>
      <c r="H1412" s="2" t="n">
        <v>4</v>
      </c>
      <c r="I1412" s="3" t="inlineStr">
        <is>
          <t>consilium/consilium_core/tests/test_ai_features.py</t>
        </is>
      </c>
    </row>
    <row r="1413" ht="30" customHeight="1">
      <c r="A1413" s="2" t="inlineStr">
        <is>
          <t>O-7</t>
        </is>
      </c>
      <c r="B1413" s="3" t="inlineStr">
        <is>
          <t>Supplementary</t>
        </is>
      </c>
      <c r="C1413" s="3" t="inlineStr">
        <is>
          <t>consilium_core.tests.test_ai_features</t>
        </is>
      </c>
      <c r="D1413" s="3" t="inlineStr">
        <is>
          <t>TestScoring</t>
        </is>
      </c>
      <c r="E1413" s="3" t="inlineStr">
        <is>
          <t>test_weights_are_configuration_and_bad_values_are_reported</t>
        </is>
      </c>
      <c r="F1413" s="3" t="inlineStr">
        <is>
          <t>whole class</t>
        </is>
      </c>
      <c r="G1413" s="2" t="n">
        <v>3</v>
      </c>
      <c r="H1413" s="2" t="n">
        <v>3</v>
      </c>
      <c r="I1413" s="3" t="inlineStr">
        <is>
          <t>consilium/consilium_core/tests/test_ai_features.py</t>
        </is>
      </c>
    </row>
    <row r="1414" ht="30" customHeight="1">
      <c r="A1414" s="2" t="inlineStr">
        <is>
          <t>O-7</t>
        </is>
      </c>
      <c r="B1414" s="3" t="inlineStr">
        <is>
          <t>Supplementary</t>
        </is>
      </c>
      <c r="C1414" s="3" t="inlineStr">
        <is>
          <t>consilium_core.tests.test_ai_features</t>
        </is>
      </c>
      <c r="D1414" s="3" t="inlineStr">
        <is>
          <t>TestScoring</t>
        </is>
      </c>
      <c r="E1414" s="3" t="inlineStr">
        <is>
          <t>test_a_policy_score_shows_its_working_and_follows_the_weights</t>
        </is>
      </c>
      <c r="F1414" s="3" t="inlineStr">
        <is>
          <t>whole class</t>
        </is>
      </c>
      <c r="G1414" s="2" t="n">
        <v>3</v>
      </c>
      <c r="H1414" s="2" t="n">
        <v>3</v>
      </c>
      <c r="I1414" s="3" t="inlineStr">
        <is>
          <t>consilium/consilium_core/tests/test_ai_features.py</t>
        </is>
      </c>
    </row>
    <row r="1415" ht="17" customHeight="1">
      <c r="A1415" s="2" t="inlineStr">
        <is>
          <t>O-7</t>
        </is>
      </c>
      <c r="B1415" s="3" t="inlineStr">
        <is>
          <t>Supplementary</t>
        </is>
      </c>
      <c r="C1415" s="3" t="inlineStr">
        <is>
          <t>consilium_core.tests.test_ai_features</t>
        </is>
      </c>
      <c r="D1415" s="3" t="inlineStr">
        <is>
          <t>TestScoring</t>
        </is>
      </c>
      <c r="E1415" s="3" t="inlineStr">
        <is>
          <t>test_a_factor_the_reader_cannot_see_scores_nothing</t>
        </is>
      </c>
      <c r="F1415" s="3" t="inlineStr">
        <is>
          <t>whole class</t>
        </is>
      </c>
      <c r="G1415" s="2" t="n">
        <v>3</v>
      </c>
      <c r="H1415" s="2" t="n">
        <v>3</v>
      </c>
      <c r="I1415" s="3" t="inlineStr">
        <is>
          <t>consilium/consilium_core/tests/test_ai_features.py</t>
        </is>
      </c>
    </row>
    <row r="1416" ht="17" customHeight="1">
      <c r="A1416" s="2" t="inlineStr">
        <is>
          <t>O-7</t>
        </is>
      </c>
      <c r="B1416" s="3" t="inlineStr">
        <is>
          <t>Supplementary</t>
        </is>
      </c>
      <c r="C1416" s="3" t="inlineStr">
        <is>
          <t>consilium_core.tests.test_ai_features</t>
        </is>
      </c>
      <c r="D1416" s="3" t="inlineStr">
        <is>
          <t>TestPages</t>
        </is>
      </c>
      <c r="E1416" s="3" t="inlineStr">
        <is>
          <t>test_the_pages_render_for_a_signed_in_reader</t>
        </is>
      </c>
      <c r="F1416" s="3" t="inlineStr">
        <is>
          <t>whole class</t>
        </is>
      </c>
      <c r="G1416" s="2" t="n">
        <v>1</v>
      </c>
      <c r="H1416" s="2" t="n">
        <v>1</v>
      </c>
      <c r="I1416" s="3" t="inlineStr">
        <is>
          <t>consilium/consilium_core/tests/test_ai_features.py</t>
        </is>
      </c>
    </row>
    <row r="1417" ht="30" customHeight="1">
      <c r="A1417" s="2" t="inlineStr">
        <is>
          <t>O-7</t>
        </is>
      </c>
      <c r="B1417" s="3" t="inlineStr">
        <is>
          <t>Supplementary</t>
        </is>
      </c>
      <c r="C1417" s="3" t="inlineStr">
        <is>
          <t>consilium_core.tests.test_regulatory_change</t>
        </is>
      </c>
      <c r="D1417" s="3" t="inlineStr">
        <is>
          <t>TestRegulatoryChangeFanOut</t>
        </is>
      </c>
      <c r="E1417" s="3" t="inlineStr">
        <is>
          <t>test_owners_of_citing_documents_and_forums_are_told_what_changed</t>
        </is>
      </c>
      <c r="F1417" s="3" t="inlineStr">
        <is>
          <t>whole class</t>
        </is>
      </c>
      <c r="G1417" s="2" t="n">
        <v>6</v>
      </c>
      <c r="H1417" s="2" t="n">
        <v>6</v>
      </c>
      <c r="I1417" s="3" t="inlineStr">
        <is>
          <t>consilium/consilium_core/tests/test_regulatory_change.py</t>
        </is>
      </c>
    </row>
    <row r="1418" ht="30" customHeight="1">
      <c r="A1418" s="2" t="inlineStr">
        <is>
          <t>O-7</t>
        </is>
      </c>
      <c r="B1418" s="3" t="inlineStr">
        <is>
          <t>Supplementary</t>
        </is>
      </c>
      <c r="C1418" s="3" t="inlineStr">
        <is>
          <t>consilium_core.tests.test_regulatory_change</t>
        </is>
      </c>
      <c r="D1418" s="3" t="inlineStr">
        <is>
          <t>TestRegulatoryChangeFanOut</t>
        </is>
      </c>
      <c r="E1418" s="3" t="inlineStr">
        <is>
          <t>test_a_substantive_change_is_dated</t>
        </is>
      </c>
      <c r="F1418" s="3" t="inlineStr">
        <is>
          <t>whole class</t>
        </is>
      </c>
      <c r="G1418" s="2" t="n">
        <v>6</v>
      </c>
      <c r="H1418" s="2" t="n">
        <v>6</v>
      </c>
      <c r="I1418" s="3" t="inlineStr">
        <is>
          <t>consilium/consilium_core/tests/test_regulatory_change.py</t>
        </is>
      </c>
    </row>
    <row r="1419" ht="30" customHeight="1">
      <c r="A1419" s="2" t="inlineStr">
        <is>
          <t>O-7</t>
        </is>
      </c>
      <c r="B1419" s="3" t="inlineStr">
        <is>
          <t>Supplementary</t>
        </is>
      </c>
      <c r="C1419" s="3" t="inlineStr">
        <is>
          <t>consilium_core.tests.test_regulatory_change</t>
        </is>
      </c>
      <c r="D1419" s="3" t="inlineStr">
        <is>
          <t>TestRegulatoryChangeFanOut</t>
        </is>
      </c>
      <c r="E1419" s="3" t="inlineStr">
        <is>
          <t>test_housekeeping_changes_tell_nobody</t>
        </is>
      </c>
      <c r="F1419" s="3" t="inlineStr">
        <is>
          <t>whole class</t>
        </is>
      </c>
      <c r="G1419" s="2" t="n">
        <v>6</v>
      </c>
      <c r="H1419" s="2" t="n">
        <v>6</v>
      </c>
      <c r="I1419" s="3" t="inlineStr">
        <is>
          <t>consilium/consilium_core/tests/test_regulatory_change.py</t>
        </is>
      </c>
    </row>
    <row r="1420" ht="30" customHeight="1">
      <c r="A1420" s="2" t="inlineStr">
        <is>
          <t>O-7</t>
        </is>
      </c>
      <c r="B1420" s="3" t="inlineStr">
        <is>
          <t>Supplementary</t>
        </is>
      </c>
      <c r="C1420" s="3" t="inlineStr">
        <is>
          <t>consilium_core.tests.test_regulatory_change</t>
        </is>
      </c>
      <c r="D1420" s="3" t="inlineStr">
        <is>
          <t>TestRegulatoryChangeFanOut</t>
        </is>
      </c>
      <c r="E1420" s="3" t="inlineStr">
        <is>
          <t>test_a_retired_document_is_not_told</t>
        </is>
      </c>
      <c r="F1420" s="3" t="inlineStr">
        <is>
          <t>whole class</t>
        </is>
      </c>
      <c r="G1420" s="2" t="n">
        <v>6</v>
      </c>
      <c r="H1420" s="2" t="n">
        <v>6</v>
      </c>
      <c r="I1420" s="3" t="inlineStr">
        <is>
          <t>consilium/consilium_core/tests/test_regulatory_change.py</t>
        </is>
      </c>
    </row>
    <row r="1421" ht="30" customHeight="1">
      <c r="A1421" s="2" t="inlineStr">
        <is>
          <t>O-7</t>
        </is>
      </c>
      <c r="B1421" s="3" t="inlineStr">
        <is>
          <t>Supplementary</t>
        </is>
      </c>
      <c r="C1421" s="3" t="inlineStr">
        <is>
          <t>consilium_core.tests.test_regulatory_change</t>
        </is>
      </c>
      <c r="D1421" s="3" t="inlineStr">
        <is>
          <t>TestRegulatoryChangeFanOut</t>
        </is>
      </c>
      <c r="E1421" s="3" t="inlineStr">
        <is>
          <t>test_a_disbanded_forum_is_not_told</t>
        </is>
      </c>
      <c r="F1421" s="3" t="inlineStr">
        <is>
          <t>whole class</t>
        </is>
      </c>
      <c r="G1421" s="2" t="n">
        <v>6</v>
      </c>
      <c r="H1421" s="2" t="n">
        <v>6</v>
      </c>
      <c r="I1421" s="3" t="inlineStr">
        <is>
          <t>consilium/consilium_core/tests/test_regulatory_change.py</t>
        </is>
      </c>
    </row>
    <row r="1422" ht="30" customHeight="1">
      <c r="A1422" s="2" t="inlineStr">
        <is>
          <t>O-7</t>
        </is>
      </c>
      <c r="B1422" s="3" t="inlineStr">
        <is>
          <t>Supplementary</t>
        </is>
      </c>
      <c r="C1422" s="3" t="inlineStr">
        <is>
          <t>consilium_core.tests.test_regulatory_change</t>
        </is>
      </c>
      <c r="D1422" s="3" t="inlineStr">
        <is>
          <t>TestRegulatoryChangeFanOut</t>
        </is>
      </c>
      <c r="E1422" s="3" t="inlineStr">
        <is>
          <t>test_a_notification_failure_does_not_undo_the_edit</t>
        </is>
      </c>
      <c r="F1422" s="3" t="inlineStr">
        <is>
          <t>whole class</t>
        </is>
      </c>
      <c r="G1422" s="2" t="n">
        <v>6</v>
      </c>
      <c r="H1422" s="2" t="n">
        <v>6</v>
      </c>
      <c r="I1422" s="3" t="inlineStr">
        <is>
          <t>consilium/consilium_core/tests/test_regulatory_change.py</t>
        </is>
      </c>
    </row>
    <row r="1423" ht="30" customHeight="1">
      <c r="A1423" s="2" t="inlineStr">
        <is>
          <t>O-7</t>
        </is>
      </c>
      <c r="B1423" s="3" t="inlineStr">
        <is>
          <t>Supplementary</t>
        </is>
      </c>
      <c r="C1423" s="3" t="inlineStr">
        <is>
          <t>consilium_core.tests.test_integrations</t>
        </is>
      </c>
      <c r="D1423" s="3" t="inlineStr">
        <is>
          <t>TestHorizonScanning</t>
        </is>
      </c>
      <c r="E1423" s="3" t="inlineStr">
        <is>
          <t>test_not_connected_explains_and_offers_integrations_to_administrators</t>
        </is>
      </c>
      <c r="F1423" s="3" t="inlineStr">
        <is>
          <t>whole class</t>
        </is>
      </c>
      <c r="G1423" s="2" t="n">
        <v>3</v>
      </c>
      <c r="H1423" s="2" t="n">
        <v>3</v>
      </c>
      <c r="I1423" s="3" t="inlineStr">
        <is>
          <t>consilium/consilium_core/tests/test_integrations.py</t>
        </is>
      </c>
    </row>
    <row r="1424" ht="30" customHeight="1">
      <c r="A1424" s="2" t="inlineStr">
        <is>
          <t>O-7</t>
        </is>
      </c>
      <c r="B1424" s="3" t="inlineStr">
        <is>
          <t>Supplementary</t>
        </is>
      </c>
      <c r="C1424" s="3" t="inlineStr">
        <is>
          <t>consilium_core.tests.test_integrations</t>
        </is>
      </c>
      <c r="D1424" s="3" t="inlineStr">
        <is>
          <t>TestHorizonScanning</t>
        </is>
      </c>
      <c r="E1424" s="3" t="inlineStr">
        <is>
          <t>test_connected_redirects_and_the_label_comes_from_settings</t>
        </is>
      </c>
      <c r="F1424" s="3" t="inlineStr">
        <is>
          <t>whole class</t>
        </is>
      </c>
      <c r="G1424" s="2" t="n">
        <v>3</v>
      </c>
      <c r="H1424" s="2" t="n">
        <v>3</v>
      </c>
      <c r="I1424" s="3" t="inlineStr">
        <is>
          <t>consilium/consilium_core/tests/test_integrations.py</t>
        </is>
      </c>
    </row>
    <row r="1425" ht="17" customHeight="1">
      <c r="A1425" s="2" t="inlineStr">
        <is>
          <t>O-7</t>
        </is>
      </c>
      <c r="B1425" s="3" t="inlineStr">
        <is>
          <t>Supplementary</t>
        </is>
      </c>
      <c r="C1425" s="3" t="inlineStr">
        <is>
          <t>consilium_core.tests.test_integrations</t>
        </is>
      </c>
      <c r="D1425" s="3" t="inlineStr">
        <is>
          <t>TestHorizonScanning</t>
        </is>
      </c>
      <c r="E1425" s="3" t="inlineStr">
        <is>
          <t>test_switched_off_removes_the_buttons</t>
        </is>
      </c>
      <c r="F1425" s="3" t="inlineStr">
        <is>
          <t>whole class</t>
        </is>
      </c>
      <c r="G1425" s="2" t="n">
        <v>3</v>
      </c>
      <c r="H1425" s="2" t="n">
        <v>3</v>
      </c>
      <c r="I1425" s="3" t="inlineStr">
        <is>
          <t>consilium/consilium_core/tests/test_integrations.py</t>
        </is>
      </c>
    </row>
  </sheetData>
  <conditionalFormatting sqref="F2:F1425">
    <cfRule type="expression" priority="1" dxfId="3" stopIfTrue="1">
      <formula>ISNUMBER(SEARCH("NOT FOUND",F2))</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00" customWidth="1" min="3" max="3"/>
  </cols>
  <sheetData>
    <row r="1" ht="17" customHeight="1">
      <c r="A1" s="1" t="inlineStr">
        <is>
          <t>Level</t>
        </is>
      </c>
      <c r="B1" s="1" t="inlineStr">
        <is>
          <t>Where</t>
        </is>
      </c>
      <c r="C1" s="1" t="inlineStr">
        <is>
          <t>Message</t>
        </is>
      </c>
    </row>
    <row r="2" ht="17" customHeight="1">
      <c r="A2" s="2" t="inlineStr">
        <is>
          <t>INFO</t>
        </is>
      </c>
      <c r="B2" s="3" t="inlineStr">
        <is>
          <t>—</t>
        </is>
      </c>
      <c r="C2" s="3" t="inlineStr">
        <is>
          <t>No parse problems.</t>
        </is>
      </c>
    </row>
  </sheetData>
  <conditionalFormatting sqref="A2">
    <cfRule type="expression" priority="1" dxfId="2" stopIfTrue="1">
      <formula>A2="WARN"</formula>
    </cfRule>
  </conditionalFormatting>
  <printOptions gridLines="0"/>
  <pageMargins left="0.4" right="0.4" top="0.5" bottom="0.5" header="0.5" footer="0.5"/>
  <pageSetup orientation="landscape" paperSize="9" fitToHeight="0" fitToWidth="1"/>
  <headerFooter>
    <oddHeader/>
    <oddFooter>&amp;C&amp;"Arial"&amp;A —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scripts/coverage_to_xlsx.py</dc:creator>
  <dc:title xmlns:dc="http://purl.org/dc/elements/1.1/">Consilium — requirements coverage</dc:title>
  <dcterms:created xmlns:dcterms="http://purl.org/dc/terms/" xmlns:xsi="http://www.w3.org/2001/XMLSchema-instance" xsi:type="dcterms:W3CDTF">2026-09-18T18:07:10Z</dcterms:created>
  <dcterms:modified xmlns:dcterms="http://purl.org/dc/terms/" xmlns:xsi="http://www.w3.org/2001/XMLSchema-instance" xsi:type="dcterms:W3CDTF">2026-09-18T18:07:10Z</dcterms:modified>
</cp:coreProperties>
</file>